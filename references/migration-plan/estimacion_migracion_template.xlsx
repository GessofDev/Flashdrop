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desarrollo\2027\flashdrop_backend\"/>
    </mc:Choice>
  </mc:AlternateContent>
  <xr:revisionPtr revIDLastSave="0" documentId="13_ncr:1_{2171ACF3-815C-4492-96BC-0D2C67B0595A}" xr6:coauthVersionLast="47" xr6:coauthVersionMax="47" xr10:uidLastSave="{00000000-0000-0000-0000-000000000000}"/>
  <bookViews>
    <workbookView xWindow="-120" yWindow="-120" windowWidth="29040" windowHeight="15720" xr2:uid="{00000000-000D-0000-FFFF-FFFF00000000}"/>
  </bookViews>
  <sheets>
    <sheet name="Catálogo" sheetId="1" r:id="rId1"/>
    <sheet name="Mi estimación" sheetId="2" r:id="rId2"/>
    <sheet name="Resumen"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1" i="3" l="1"/>
  <c r="C41" i="3"/>
  <c r="B41" i="3"/>
  <c r="D40" i="3"/>
  <c r="C40" i="3"/>
  <c r="B40" i="3"/>
  <c r="D39" i="3"/>
  <c r="C39" i="3"/>
  <c r="B39" i="3"/>
  <c r="D38" i="3"/>
  <c r="C38" i="3"/>
  <c r="B38" i="3"/>
  <c r="D37" i="3"/>
  <c r="C37" i="3"/>
  <c r="B37" i="3"/>
  <c r="D36" i="3"/>
  <c r="C36" i="3"/>
  <c r="B36" i="3"/>
  <c r="D35" i="3"/>
  <c r="C35" i="3"/>
  <c r="B35" i="3"/>
  <c r="D34" i="3"/>
  <c r="C34" i="3"/>
  <c r="B34" i="3"/>
  <c r="D33" i="3"/>
  <c r="C33" i="3"/>
  <c r="B33" i="3"/>
  <c r="D32" i="3"/>
  <c r="C32" i="3"/>
  <c r="B32" i="3"/>
  <c r="D31" i="3"/>
  <c r="C31" i="3"/>
  <c r="B31" i="3"/>
  <c r="D30" i="3"/>
  <c r="C30" i="3"/>
  <c r="B30" i="3"/>
  <c r="D26" i="3"/>
  <c r="C26" i="3"/>
  <c r="B26" i="3"/>
  <c r="D25" i="3"/>
  <c r="C25" i="3"/>
  <c r="B25" i="3"/>
  <c r="D24" i="3"/>
  <c r="C24" i="3"/>
  <c r="B24" i="3"/>
  <c r="D23" i="3"/>
  <c r="C23" i="3"/>
  <c r="B23" i="3"/>
  <c r="D22" i="3"/>
  <c r="C22" i="3"/>
  <c r="B22" i="3"/>
  <c r="D18" i="3"/>
  <c r="C18" i="3"/>
  <c r="B18" i="3"/>
  <c r="D17" i="3"/>
  <c r="C17" i="3"/>
  <c r="B17" i="3"/>
  <c r="D16" i="3"/>
  <c r="C16" i="3"/>
  <c r="B16" i="3"/>
  <c r="D15" i="3"/>
  <c r="C15" i="3"/>
  <c r="B15" i="3"/>
  <c r="D9" i="3"/>
  <c r="C9" i="3"/>
  <c r="B9" i="3"/>
  <c r="D8" i="3"/>
  <c r="C8" i="3"/>
  <c r="B8" i="3"/>
  <c r="D7" i="3"/>
  <c r="C7" i="3"/>
  <c r="B7" i="3"/>
  <c r="D6" i="3"/>
  <c r="C6" i="3"/>
  <c r="B6" i="3"/>
  <c r="D5" i="3"/>
  <c r="D10" i="3" s="1"/>
  <c r="C5" i="3"/>
  <c r="C10" i="3" s="1"/>
  <c r="B5" i="3"/>
  <c r="B10" i="3" s="1"/>
  <c r="G89" i="2"/>
  <c r="G88" i="2"/>
  <c r="G87" i="2"/>
  <c r="G86" i="2"/>
  <c r="G85" i="2"/>
  <c r="G84" i="2"/>
  <c r="G83" i="2"/>
  <c r="G82" i="2"/>
  <c r="G81" i="2"/>
  <c r="G80" i="2"/>
  <c r="G79" i="2"/>
  <c r="G78" i="2"/>
  <c r="G77" i="2"/>
  <c r="G76" i="2"/>
  <c r="G75" i="2"/>
  <c r="G74" i="2"/>
  <c r="G73" i="2"/>
  <c r="G72" i="2"/>
  <c r="G71" i="2"/>
  <c r="G70" i="2"/>
  <c r="G69" i="2"/>
  <c r="G68" i="2"/>
  <c r="G67" i="2"/>
  <c r="G66" i="2"/>
  <c r="G65" i="2"/>
  <c r="G64" i="2"/>
  <c r="G63" i="2"/>
  <c r="G62" i="2"/>
  <c r="G61" i="2"/>
  <c r="G60" i="2"/>
  <c r="G59" i="2"/>
  <c r="G58" i="2"/>
  <c r="G57" i="2"/>
  <c r="G56" i="2"/>
  <c r="G55" i="2"/>
  <c r="G54" i="2"/>
  <c r="G53" i="2"/>
  <c r="G52" i="2"/>
  <c r="G51" i="2"/>
  <c r="G50" i="2"/>
  <c r="G49" i="2"/>
  <c r="G48" i="2"/>
  <c r="G47" i="2"/>
  <c r="G46" i="2"/>
  <c r="G45" i="2"/>
  <c r="G44" i="2"/>
  <c r="G43" i="2"/>
  <c r="G42" i="2"/>
  <c r="G41" i="2"/>
  <c r="G40" i="2"/>
  <c r="G39" i="2"/>
  <c r="G38" i="2"/>
  <c r="G37" i="2"/>
  <c r="G36" i="2"/>
  <c r="G35" i="2"/>
  <c r="G34" i="2"/>
  <c r="G33" i="2"/>
  <c r="G32" i="2"/>
  <c r="G31" i="2"/>
  <c r="G30" i="2"/>
  <c r="G29" i="2"/>
  <c r="G28" i="2"/>
  <c r="G27" i="2"/>
  <c r="G26" i="2"/>
  <c r="G25" i="2"/>
  <c r="G24" i="2"/>
  <c r="G23" i="2"/>
  <c r="G22" i="2"/>
  <c r="G21" i="2"/>
  <c r="G20" i="2"/>
  <c r="G19" i="2"/>
  <c r="G18" i="2"/>
  <c r="G17" i="2"/>
  <c r="G16" i="2"/>
  <c r="G15" i="2"/>
  <c r="G14" i="2"/>
  <c r="G13" i="2"/>
  <c r="G12" i="2"/>
  <c r="G11" i="2"/>
  <c r="G10" i="2"/>
  <c r="G9" i="2"/>
  <c r="G8" i="2"/>
  <c r="G7" i="2"/>
  <c r="G6" i="2"/>
  <c r="G5" i="2"/>
  <c r="G4" i="2"/>
  <c r="G3" i="2"/>
  <c r="G2" i="2"/>
</calcChain>
</file>

<file path=xl/sharedStrings.xml><?xml version="1.0" encoding="utf-8"?>
<sst xmlns="http://schemas.openxmlformats.org/spreadsheetml/2006/main" count="832" uniqueCount="219">
  <si>
    <t>Tipo de tarea</t>
  </si>
  <si>
    <t>Descripción genérica</t>
  </si>
  <si>
    <t>Estimación sugerida (h)</t>
  </si>
  <si>
    <t>Criterio de done</t>
  </si>
  <si>
    <t>Tests asociados</t>
  </si>
  <si>
    <t>Labels Jira sugeridos</t>
  </si>
  <si>
    <t>Crear endpoint interno GET</t>
  </si>
  <si>
    <t>Implementar endpoint HTTP bajo /api/internal/** que retorna datos en formato JSON según contrato definido en el plan (sección 9).</t>
  </si>
  <si>
    <t>Endpoint responde con JSON correcto, validado contra el contrato. Test de integración 200/404 verde.</t>
  </si>
  <si>
    <t>Test de endpoint interno + Test de contrato JSON</t>
  </si>
  <si>
    <t>endpoint-interno, fase-1</t>
  </si>
  <si>
    <t>Crear endpoint interno POST/PATCH</t>
  </si>
  <si>
    <t>Implementar endpoint HTTP con body request que muta estado (crear/actualizar recurso) en el servicio dueño.</t>
  </si>
  <si>
    <t>Endpoint responde 201/200 con JSON correcto. Validación de body y manejo de errores según formato estándar (sección 10).</t>
  </si>
  <si>
    <t>Test de integración HTTP (happy path + error 409/422)</t>
  </si>
  <si>
    <t>Reemplazar adapter SQL → HTTP</t>
  </si>
  <si>
    <t>Cambiar la implementación de un port (interface hexagonal) que hoy consulta Supabase REST directo, por un HTTP client que llama al endpoint interno del servicio dueño. La firma del port NO cambia.</t>
  </si>
  <si>
    <t>Adapter nuevo implementa el port. Tests del use case pasan. No quedan referencias al adapter viejo.</t>
  </si>
  <si>
    <t>Test unitario del use case + Test de integración del HTTP client (mock o WireMock)</t>
  </si>
  <si>
    <t>adapter, fase-2</t>
  </si>
  <si>
    <t>Crear esquema SQL independiente</t>
  </si>
  <si>
    <t>Definir el DDL de las tablas propias del servicio en un script SQL versionado. Cada tabla es propiedad exclusiva del servicio.</t>
  </si>
  <si>
    <t>Script SQL ejecutable contra la BD del servicio. Sin referencias a tablas de otros servicios.</t>
  </si>
  <si>
    <t>—</t>
  </si>
  <si>
    <t>bd, fase-3</t>
  </si>
  <si>
    <t>Crear script de seed</t>
  </si>
  <si>
    <t>Generar script que popula la BD del servicio con datos demo realistas para desarrollo y tests.</t>
  </si>
  <si>
    <t>Script ejecutable idempotente. Datos suficientes para probar el flujo end-to-end.</t>
  </si>
  <si>
    <t>seed, fase-3</t>
  </si>
  <si>
    <t>Configurar nueva conexión BD</t>
  </si>
  <si>
    <t>Actualizar application.yml / .env del servicio para apuntar a su propia base de datos (SUPABASE_URL, SUPABASE_SERVICE_ROLE_KEY propios).</t>
  </si>
  <si>
    <t>Servicio levanta sin error de conexión. Queries a tablas propias funcionan.</t>
  </si>
  <si>
    <t>config, fase-3</t>
  </si>
  <si>
    <t>Configurar URLs servicios internos</t>
  </si>
  <si>
    <t>Definir variables de entorno con las URLs de los servicios que este servicio consume (AUTH_SERVICE_URL, CATALOG_SERVICE_URL, etc.) en application.yml.</t>
  </si>
  <si>
    <t>Servicio resuelve las URLs de sus dependencias. HTTP clients inyectan correctamente.</t>
  </si>
  <si>
    <t>config, fase-2</t>
  </si>
  <si>
    <t>Configurar InternalApiKeyFilter</t>
  </si>
  <si>
    <t>Implementar filtro HTTP que valida el header X-Internal-Api-Key en todos los endpoints bajo /api/internal/**. Si el header no coincide, responde 403.</t>
  </si>
  <si>
    <t>Endpoints internos rechazan requests sin X-Internal-Api-Key válido. Endpoints públicos NO se ven afectados.</t>
  </si>
  <si>
    <t>Test del filtro (200 con key válida, 403 sin key)</t>
  </si>
  <si>
    <t>config, fase-1</t>
  </si>
  <si>
    <t>Test unitario de dominio</t>
  </si>
  <si>
    <t>Test que cubre la lógica de un use case o entidad de dominio sin tocar infraestructura (sin Spring, sin BD, sin HTTP).</t>
  </si>
  <si>
    <t>Test pasa. Cubre caso feliz + casos de error relevantes (excepciones de dominio).</t>
  </si>
  <si>
    <t>test</t>
  </si>
  <si>
    <t>Test de integración HTTP client</t>
  </si>
  <si>
    <t>Test que valida que un HTTP client (hacia otro servicio) envía el request correcto, parsea la respuesta, y maneja errores del servicio dependiente (caído, timeout, 404).</t>
  </si>
  <si>
    <t>Test pasa con MockRestServiceServer o WireMock. Cubre happy path + al menos un escenario de fallo.</t>
  </si>
  <si>
    <t>Test de endpoint interno</t>
  </si>
  <si>
    <t>Test que valida un endpoint interno propio: request, respuesta esperada, status code. Usa MockMvc.</t>
  </si>
  <si>
    <t>Test pasa. Cubre 200 con datos y al menos un caso de error (404 o 400).</t>
  </si>
  <si>
    <t>Test de contrato JSON</t>
  </si>
  <si>
    <t>Test que verifica que el JSON de respuesta de un endpoint interno tiene EXACTAMENTE los campos que los servicios consumidores esperan (nombres, tipos, nullabilidad).</t>
  </si>
  <si>
    <t>Test asserts sobre los nombres y tipos de cada campo del JSON.</t>
  </si>
  <si>
    <t>test, contrato</t>
  </si>
  <si>
    <t>ID</t>
  </si>
  <si>
    <t>Fase</t>
  </si>
  <si>
    <t>Servicio</t>
  </si>
  <si>
    <t>Responsable</t>
  </si>
  <si>
    <t>Título (resumen Jira)</t>
  </si>
  <si>
    <t>Descripción estándar</t>
  </si>
  <si>
    <t>Descripción específica (completar)</t>
  </si>
  <si>
    <t>Estimación (h)</t>
  </si>
  <si>
    <t>Dependencias</t>
  </si>
  <si>
    <t>Tests requeridos</t>
  </si>
  <si>
    <t>Estado</t>
  </si>
  <si>
    <t>Jira Key</t>
  </si>
  <si>
    <t>URL Jira</t>
  </si>
  <si>
    <t>Fecha inicio</t>
  </si>
  <si>
    <t>Fecha fin</t>
  </si>
  <si>
    <t>Horas reales</t>
  </si>
  <si>
    <t>Auth</t>
  </si>
  <si>
    <t>Nicolás</t>
  </si>
  <si>
    <t>Crear GET /api/internal/users/{userId}</t>
  </si>
  <si>
    <t>Pendiente</t>
  </si>
  <si>
    <t>auth-service, fase-1, endpoint-interno</t>
  </si>
  <si>
    <t>Crear GET /api/internal/users/{userId}/roles</t>
  </si>
  <si>
    <t>Configurar filtro X-Internal-Api-Key en Auth</t>
  </si>
  <si>
    <t>Test del filtro</t>
  </si>
  <si>
    <t>auth-service, fase-1, config</t>
  </si>
  <si>
    <t>RegisterUserTest — email válido</t>
  </si>
  <si>
    <t>auth-service, fase-1, test</t>
  </si>
  <si>
    <t>RegisterUserTest — email duplicado</t>
  </si>
  <si>
    <t>RegisterUserTest — password débil</t>
  </si>
  <si>
    <t>AuthenticateUserTest — credenciales válidas</t>
  </si>
  <si>
    <t>AuthenticateUserTest — credenciales inválidas</t>
  </si>
  <si>
    <t>RefreshTokenTest — token válido</t>
  </si>
  <si>
    <t>RefreshTokenTest — token expirado</t>
  </si>
  <si>
    <t>GET /api/internal/users/{id} — 200 con datos</t>
  </si>
  <si>
    <t>GET /api/internal/users/{id} — 404</t>
  </si>
  <si>
    <t>GET /api/internal/users/{id}/roles — lista</t>
  </si>
  <si>
    <t>GET /api/internal/users/{id}/roles — lista vacía</t>
  </si>
  <si>
    <t>Contrato JSON de /api/internal/users/{id}</t>
  </si>
  <si>
    <t>auth-service, fase-1, test, contrato</t>
  </si>
  <si>
    <t>Crear esquema SQL Auth (users, login, roles, user_has_roles, refresh_tokens)</t>
  </si>
  <si>
    <t>auth-service, fase-3, bd</t>
  </si>
  <si>
    <t>Configurar SUPABASE_URL y KEY propios en Auth</t>
  </si>
  <si>
    <t>Esquema SQL creado</t>
  </si>
  <si>
    <t>auth-service, fase-3, config</t>
  </si>
  <si>
    <t>Crear seed con datos demo Auth</t>
  </si>
  <si>
    <t>auth-service, fase-3, seed</t>
  </si>
  <si>
    <t>Catalog</t>
  </si>
  <si>
    <t>Javier</t>
  </si>
  <si>
    <t>Crear GET /api/internal/products?ids=...</t>
  </si>
  <si>
    <t>catalog-service, fase-1, endpoint-interno</t>
  </si>
  <si>
    <t>Crear GET /api/internal/restaurants/{restaurantId}</t>
  </si>
  <si>
    <t>Crear GET /api/internal/restaurants?userId=...</t>
  </si>
  <si>
    <t>Configurar filtro X-Internal-Api-Key en Catalog</t>
  </si>
  <si>
    <t>catalog-service, fase-1, config</t>
  </si>
  <si>
    <t>ListProductsTest — por categoría</t>
  </si>
  <si>
    <t>catalog-service, fase-1, test</t>
  </si>
  <si>
    <t>ListProductsTest — por restaurante</t>
  </si>
  <si>
    <t>CreateProductTest — precio negativo</t>
  </si>
  <si>
    <t>CreateProductTest — categoría inexistente</t>
  </si>
  <si>
    <t>GetProductsByIdsTest</t>
  </si>
  <si>
    <t>ListCategoriesTest</t>
  </si>
  <si>
    <t>ListRestaurantsTest</t>
  </si>
  <si>
    <t>GET /api/internal/products — 200 con productos</t>
  </si>
  <si>
    <t>GET /api/internal/products?ids=999 — lista vacía</t>
  </si>
  <si>
    <t>GET /api/internal/restaurants/{id} — 200</t>
  </si>
  <si>
    <t>GET /api/internal/restaurants/{id} — 404</t>
  </si>
  <si>
    <t>GET /api/internal/restaurants?userId=...</t>
  </si>
  <si>
    <t>Contrato JSON de /api/internal/products</t>
  </si>
  <si>
    <t>catalog-service, fase-1, test, contrato</t>
  </si>
  <si>
    <t>Contrato JSON de /api/internal/restaurants/{id}</t>
  </si>
  <si>
    <t>Crear esquema SQL Catalog (categories, products, restaurant)</t>
  </si>
  <si>
    <t>catalog-service, fase-3, bd</t>
  </si>
  <si>
    <t>Configurar SUPABASE_URL y KEY propios en Catalog</t>
  </si>
  <si>
    <t>catalog-service, fase-3, config</t>
  </si>
  <si>
    <t>Crear seed con datos demo Catalog</t>
  </si>
  <si>
    <t>catalog-service, fase-3, seed</t>
  </si>
  <si>
    <t>Orders</t>
  </si>
  <si>
    <t>Felipe</t>
  </si>
  <si>
    <t>Crear GET /api/internal/orders?ids=...</t>
  </si>
  <si>
    <t>orders-service, fase-1, endpoint-interno</t>
  </si>
  <si>
    <t>Configurar filtro X-Internal-Api-Key en Orders</t>
  </si>
  <si>
    <t>orders-service, fase-1, config</t>
  </si>
  <si>
    <t>GET /api/internal/orders?ids=1,2,3 — 200</t>
  </si>
  <si>
    <t>orders-service, fase-1, test</t>
  </si>
  <si>
    <t>GET /api/internal/orders?ids=999 — lista vacía</t>
  </si>
  <si>
    <t>SupabaseRestCatalogAdapter → CatalogHttpClientAdapter</t>
  </si>
  <si>
    <t>Endpoints internos de Catalog (Fase 1)</t>
  </si>
  <si>
    <t>orders-service, fase-2, adapter</t>
  </si>
  <si>
    <t>Accesos a users en SupabaseRestDeliveryAdapter → AuthHttpClientAdapter</t>
  </si>
  <si>
    <t>Endpoints internos de Auth (Fase 1)</t>
  </si>
  <si>
    <t>Accesos a delivery → DeliveryHttpClientAdapter</t>
  </si>
  <si>
    <t>Endpoints internos de Delivery (Fase 1)</t>
  </si>
  <si>
    <t>Escritura de delivery_routes → POST /api/internal/routes</t>
  </si>
  <si>
    <t>Configurar AUTH_SERVICE_URL, CATALOG_SERVICE_URL, DELIVERY_SERVICE_URL en Orders</t>
  </si>
  <si>
    <t>orders-service, fase-2, config</t>
  </si>
  <si>
    <t>CreateOrderTest — productos válidos</t>
  </si>
  <si>
    <t>orders-service, fase-2, test</t>
  </si>
  <si>
    <t>CreateOrderTest — producto no disponible</t>
  </si>
  <si>
    <t>CreateOrderTest — lista vacía</t>
  </si>
  <si>
    <t>UpdateOrderStatusTest — transición válida</t>
  </si>
  <si>
    <t>UpdateOrderStatusTest — transición inválida</t>
  </si>
  <si>
    <t>ClaimOrdersTest</t>
  </si>
  <si>
    <t>CatalogHttpClientAdapter — IDs válidos</t>
  </si>
  <si>
    <t>Adapters HTTP creados</t>
  </si>
  <si>
    <t>CatalogHttpClientAdapter — Catalog caído</t>
  </si>
  <si>
    <t>AuthHttpClientAdapter — válido</t>
  </si>
  <si>
    <t>AuthHttpClientAdapter — usuario inexistente</t>
  </si>
  <si>
    <t>DeliveryHttpClientAdapter — info repartidor</t>
  </si>
  <si>
    <t>DeliveryHttpClientAdapter — crear ruta 201</t>
  </si>
  <si>
    <t>Crear esquema SQL Orders (orders, order_items, client)</t>
  </si>
  <si>
    <t>orders-service, fase-3, bd</t>
  </si>
  <si>
    <t>Configurar SUPABASE_URL y KEY propios en Orders</t>
  </si>
  <si>
    <t>orders-service, fase-3, config</t>
  </si>
  <si>
    <t>Crear seed con datos demo Orders</t>
  </si>
  <si>
    <t>orders-service, fase-3, seed</t>
  </si>
  <si>
    <t>Delivery</t>
  </si>
  <si>
    <t>Sebastián</t>
  </si>
  <si>
    <t>Crear GET /api/internal/delivery-persons?userId=...</t>
  </si>
  <si>
    <t>delivery-service, fase-1, endpoint-interno</t>
  </si>
  <si>
    <t>Crear POST /api/internal/routes</t>
  </si>
  <si>
    <t>Crear PATCH /api/internal/routes/{orderId}/status</t>
  </si>
  <si>
    <t>Configurar filtro X-Internal-Api-Key en Delivery</t>
  </si>
  <si>
    <t>delivery-service, fase-1, config</t>
  </si>
  <si>
    <t>GET /api/internal/delivery-persons — 200</t>
  </si>
  <si>
    <t>delivery-service, fase-1, test</t>
  </si>
  <si>
    <t>GET /api/internal/delivery-persons — 404</t>
  </si>
  <si>
    <t>POST /api/internal/routes — 201</t>
  </si>
  <si>
    <t>POST /api/internal/routes — 409 (duplicado)</t>
  </si>
  <si>
    <t>PATCH /api/internal/routes — 200</t>
  </si>
  <si>
    <t>PATCH /api/internal/routes — 404</t>
  </si>
  <si>
    <t>OrderServiceClientAdapter → HTTP clients a Orders y Catalog</t>
  </si>
  <si>
    <t>Endpoints internos de Orders y Catalog (Fase 1)</t>
  </si>
  <si>
    <t>delivery-service, fase-2, adapter</t>
  </si>
  <si>
    <t>ClaimDeliveryTest — mismo restaurante</t>
  </si>
  <si>
    <t>delivery-service, fase-2, test</t>
  </si>
  <si>
    <t>ClaimDeliveryTest — distintos restaurantes</t>
  </si>
  <si>
    <t>ClaimDeliveryTest — repartidor inexistente</t>
  </si>
  <si>
    <t>UpdateRouteStatusTest — transición válida</t>
  </si>
  <si>
    <t>UpdateRouteStatusTest — ruta inexistente</t>
  </si>
  <si>
    <t>ListRoutesTest</t>
  </si>
  <si>
    <t>OrdersHttpClientAdapter — órdenes con dirección</t>
  </si>
  <si>
    <t>OrdersHttpClientAdapter — Orders caído</t>
  </si>
  <si>
    <t>CatalogHttpClientAdapter — nombre y dirección</t>
  </si>
  <si>
    <t>CatalogHttpClientAdapter — fallback</t>
  </si>
  <si>
    <t>Crear esquema SQL Delivery (delivery, delivery_routes)</t>
  </si>
  <si>
    <t>delivery-service, fase-3, bd</t>
  </si>
  <si>
    <t>Configurar SUPABASE_URL y KEY propios en Delivery</t>
  </si>
  <si>
    <t>delivery-service, fase-3, config</t>
  </si>
  <si>
    <t>Crear seed con datos demo Delivery</t>
  </si>
  <si>
    <t>delivery-service, fase-3, seed</t>
  </si>
  <si>
    <t>Todos</t>
  </si>
  <si>
    <t>Test e2e del flujo completo (Fase 4)</t>
  </si>
  <si>
    <t>Fases 1+2+3 completas</t>
  </si>
  <si>
    <t>fase-4, e2e, shared</t>
  </si>
  <si>
    <t>Resumen de estimación — Migración FlashDrop Backend</t>
  </si>
  <si>
    <t>Por servicio</t>
  </si>
  <si>
    <t>Items</t>
  </si>
  <si>
    <t>Horas estimadas</t>
  </si>
  <si>
    <t>Total</t>
  </si>
  <si>
    <t>Por fase</t>
  </si>
  <si>
    <t>Por responsable</t>
  </si>
  <si>
    <t>Por tipo de tarea</t>
  </si>
  <si>
    <t>Tipo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</si>
</sst>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ont>
    <font>
      <b/>
      <sz val="14"/>
      <color rgb="FF1F4E78"/>
      <name val="Calibri"/>
    </font>
    <font>
      <b/>
      <sz val="12"/>
      <color rgb="FF1F4E78"/>
      <name val="Calibri"/>
    </font>
    <font>
      <b/>
      <sz val="11"/>
      <name val="Calibri"/>
    </font>
  </fonts>
  <fills count="4">
    <fill>
      <patternFill patternType="none"/>
    </fill>
    <fill>
      <patternFill patternType="gray125"/>
    </fill>
    <fill>
      <patternFill patternType="solid">
        <fgColor rgb="FF1F4E78"/>
      </patternFill>
    </fill>
    <fill>
      <patternFill patternType="solid">
        <fgColor rgb="FFD9E1F2"/>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left" vertical="top" wrapText="1"/>
    </xf>
    <xf numFmtId="0" fontId="0" fillId="0" borderId="1" xfId="0" applyBorder="1" applyAlignment="1">
      <alignment horizontal="center" vertical="center" wrapText="1"/>
    </xf>
    <xf numFmtId="0" fontId="3" fillId="0" borderId="0" xfId="0" applyFont="1"/>
    <xf numFmtId="0" fontId="0" fillId="0" borderId="1" xfId="0" applyBorder="1"/>
    <xf numFmtId="0" fontId="4" fillId="3" borderId="1" xfId="0" applyFont="1" applyFill="1" applyBorder="1"/>
    <xf numFmtId="0" fontId="4" fillId="3" borderId="1" xfId="0" applyFont="1" applyFill="1" applyBorder="1" applyAlignment="1">
      <alignment horizontal="center" vertical="center" wrapText="1"/>
    </xf>
    <xf numFmtId="0" fontId="2" fillId="0" borderId="0" xfId="0" applyFo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3"/>
  <sheetViews>
    <sheetView tabSelected="1" workbookViewId="0">
      <pane ySplit="1" topLeftCell="A2" activePane="bottomLeft" state="frozen"/>
      <selection pane="bottomLeft" activeCell="C2" sqref="C2:C13"/>
    </sheetView>
  </sheetViews>
  <sheetFormatPr baseColWidth="10" defaultColWidth="9.140625" defaultRowHeight="15" x14ac:dyDescent="0.25"/>
  <cols>
    <col min="1" max="1" width="32" customWidth="1"/>
    <col min="2" max="2" width="60" customWidth="1"/>
    <col min="3" max="3" width="18" customWidth="1"/>
    <col min="4" max="4" width="50" customWidth="1"/>
    <col min="5" max="5" width="35" customWidth="1"/>
    <col min="6" max="6" width="32" customWidth="1"/>
  </cols>
  <sheetData>
    <row r="1" spans="1:6" ht="27.95" customHeight="1" x14ac:dyDescent="0.25">
      <c r="A1" s="1" t="s">
        <v>0</v>
      </c>
      <c r="B1" s="1" t="s">
        <v>1</v>
      </c>
      <c r="C1" s="1" t="s">
        <v>2</v>
      </c>
      <c r="D1" s="1" t="s">
        <v>3</v>
      </c>
      <c r="E1" s="1" t="s">
        <v>4</v>
      </c>
      <c r="F1" s="1" t="s">
        <v>5</v>
      </c>
    </row>
    <row r="2" spans="1:6" ht="45" x14ac:dyDescent="0.25">
      <c r="A2" s="2" t="s">
        <v>6</v>
      </c>
      <c r="B2" s="2" t="s">
        <v>7</v>
      </c>
      <c r="C2" s="3"/>
      <c r="D2" s="2" t="s">
        <v>8</v>
      </c>
      <c r="E2" s="2" t="s">
        <v>9</v>
      </c>
      <c r="F2" s="2" t="s">
        <v>10</v>
      </c>
    </row>
    <row r="3" spans="1:6" ht="45" x14ac:dyDescent="0.25">
      <c r="A3" s="2" t="s">
        <v>11</v>
      </c>
      <c r="B3" s="2" t="s">
        <v>12</v>
      </c>
      <c r="C3" s="3"/>
      <c r="D3" s="2" t="s">
        <v>13</v>
      </c>
      <c r="E3" s="2" t="s">
        <v>14</v>
      </c>
      <c r="F3" s="2" t="s">
        <v>10</v>
      </c>
    </row>
    <row r="4" spans="1:6" ht="60" x14ac:dyDescent="0.25">
      <c r="A4" s="2" t="s">
        <v>15</v>
      </c>
      <c r="B4" s="2" t="s">
        <v>16</v>
      </c>
      <c r="C4" s="3"/>
      <c r="D4" s="2" t="s">
        <v>17</v>
      </c>
      <c r="E4" s="2" t="s">
        <v>18</v>
      </c>
      <c r="F4" s="2" t="s">
        <v>19</v>
      </c>
    </row>
    <row r="5" spans="1:6" ht="30" x14ac:dyDescent="0.25">
      <c r="A5" s="2" t="s">
        <v>20</v>
      </c>
      <c r="B5" s="2" t="s">
        <v>21</v>
      </c>
      <c r="C5" s="3"/>
      <c r="D5" s="2" t="s">
        <v>22</v>
      </c>
      <c r="E5" s="2" t="s">
        <v>23</v>
      </c>
      <c r="F5" s="2" t="s">
        <v>24</v>
      </c>
    </row>
    <row r="6" spans="1:6" ht="30" x14ac:dyDescent="0.25">
      <c r="A6" s="2" t="s">
        <v>25</v>
      </c>
      <c r="B6" s="2" t="s">
        <v>26</v>
      </c>
      <c r="C6" s="3"/>
      <c r="D6" s="2" t="s">
        <v>27</v>
      </c>
      <c r="E6" s="2" t="s">
        <v>23</v>
      </c>
      <c r="F6" s="2" t="s">
        <v>28</v>
      </c>
    </row>
    <row r="7" spans="1:6" ht="45" x14ac:dyDescent="0.25">
      <c r="A7" s="2" t="s">
        <v>29</v>
      </c>
      <c r="B7" s="2" t="s">
        <v>30</v>
      </c>
      <c r="C7" s="3"/>
      <c r="D7" s="2" t="s">
        <v>31</v>
      </c>
      <c r="E7" s="2" t="s">
        <v>23</v>
      </c>
      <c r="F7" s="2" t="s">
        <v>32</v>
      </c>
    </row>
    <row r="8" spans="1:6" ht="45" x14ac:dyDescent="0.25">
      <c r="A8" s="2" t="s">
        <v>33</v>
      </c>
      <c r="B8" s="2" t="s">
        <v>34</v>
      </c>
      <c r="C8" s="3"/>
      <c r="D8" s="2" t="s">
        <v>35</v>
      </c>
      <c r="E8" s="2" t="s">
        <v>23</v>
      </c>
      <c r="F8" s="2" t="s">
        <v>36</v>
      </c>
    </row>
    <row r="9" spans="1:6" ht="45" x14ac:dyDescent="0.25">
      <c r="A9" s="2" t="s">
        <v>37</v>
      </c>
      <c r="B9" s="2" t="s">
        <v>38</v>
      </c>
      <c r="C9" s="3"/>
      <c r="D9" s="2" t="s">
        <v>39</v>
      </c>
      <c r="E9" s="2" t="s">
        <v>40</v>
      </c>
      <c r="F9" s="2" t="s">
        <v>41</v>
      </c>
    </row>
    <row r="10" spans="1:6" ht="30" x14ac:dyDescent="0.25">
      <c r="A10" s="2" t="s">
        <v>42</v>
      </c>
      <c r="B10" s="2" t="s">
        <v>43</v>
      </c>
      <c r="C10" s="3"/>
      <c r="D10" s="2" t="s">
        <v>44</v>
      </c>
      <c r="E10" s="2" t="s">
        <v>23</v>
      </c>
      <c r="F10" s="2" t="s">
        <v>45</v>
      </c>
    </row>
    <row r="11" spans="1:6" ht="45" x14ac:dyDescent="0.25">
      <c r="A11" s="2" t="s">
        <v>46</v>
      </c>
      <c r="B11" s="2" t="s">
        <v>47</v>
      </c>
      <c r="C11" s="3"/>
      <c r="D11" s="2" t="s">
        <v>48</v>
      </c>
      <c r="E11" s="2" t="s">
        <v>23</v>
      </c>
      <c r="F11" s="2" t="s">
        <v>45</v>
      </c>
    </row>
    <row r="12" spans="1:6" ht="30" x14ac:dyDescent="0.25">
      <c r="A12" s="2" t="s">
        <v>49</v>
      </c>
      <c r="B12" s="2" t="s">
        <v>50</v>
      </c>
      <c r="C12" s="3"/>
      <c r="D12" s="2" t="s">
        <v>51</v>
      </c>
      <c r="E12" s="2" t="s">
        <v>23</v>
      </c>
      <c r="F12" s="2" t="s">
        <v>45</v>
      </c>
    </row>
    <row r="13" spans="1:6" ht="45" x14ac:dyDescent="0.25">
      <c r="A13" s="2" t="s">
        <v>52</v>
      </c>
      <c r="B13" s="2" t="s">
        <v>53</v>
      </c>
      <c r="C13" s="3"/>
      <c r="D13" s="2" t="s">
        <v>54</v>
      </c>
      <c r="E13" s="2" t="s">
        <v>23</v>
      </c>
      <c r="F13" s="2" t="s">
        <v>55</v>
      </c>
    </row>
  </sheetData>
  <dataValidations count="1">
    <dataValidation type="list" allowBlank="1" errorTitle="Valor inválido" error="Estimación debe ser una de: 0.5, 1, 2, 4, 8, 16" sqref="C2:C13" xr:uid="{00000000-0002-0000-0000-000000000000}">
      <formula1>"0.5,1,2,4,8,16"</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89"/>
  <sheetViews>
    <sheetView workbookViewId="0">
      <pane ySplit="1" topLeftCell="A2" activePane="bottomLeft" state="frozen"/>
      <selection pane="bottomLeft"/>
    </sheetView>
  </sheetViews>
  <sheetFormatPr baseColWidth="10" defaultColWidth="9.140625" defaultRowHeight="15" x14ac:dyDescent="0.25"/>
  <cols>
    <col min="1" max="1" width="6" customWidth="1"/>
    <col min="2" max="2" width="8" customWidth="1"/>
    <col min="3" max="3" width="12" customWidth="1"/>
    <col min="4" max="4" width="14" customWidth="1"/>
    <col min="5" max="5" width="32" customWidth="1"/>
    <col min="6" max="7" width="50" customWidth="1"/>
    <col min="8" max="8" width="40" customWidth="1"/>
    <col min="9" max="9" width="14" customWidth="1"/>
    <col min="10" max="11" width="28" customWidth="1"/>
    <col min="12" max="12" width="14" customWidth="1"/>
    <col min="13" max="13" width="12" customWidth="1"/>
    <col min="14" max="14" width="40" customWidth="1"/>
    <col min="15" max="15" width="30" customWidth="1"/>
    <col min="16" max="18" width="14" customWidth="1"/>
  </cols>
  <sheetData>
    <row r="1" spans="1:18" ht="32.1" customHeight="1" x14ac:dyDescent="0.25">
      <c r="A1" s="1" t="s">
        <v>56</v>
      </c>
      <c r="B1" s="1" t="s">
        <v>57</v>
      </c>
      <c r="C1" s="1" t="s">
        <v>58</v>
      </c>
      <c r="D1" s="1" t="s">
        <v>59</v>
      </c>
      <c r="E1" s="1" t="s">
        <v>0</v>
      </c>
      <c r="F1" s="1" t="s">
        <v>60</v>
      </c>
      <c r="G1" s="1" t="s">
        <v>61</v>
      </c>
      <c r="H1" s="1" t="s">
        <v>62</v>
      </c>
      <c r="I1" s="1" t="s">
        <v>63</v>
      </c>
      <c r="J1" s="1" t="s">
        <v>64</v>
      </c>
      <c r="K1" s="1" t="s">
        <v>65</v>
      </c>
      <c r="L1" s="1" t="s">
        <v>66</v>
      </c>
      <c r="M1" s="1" t="s">
        <v>67</v>
      </c>
      <c r="N1" s="1" t="s">
        <v>68</v>
      </c>
      <c r="O1" s="1" t="s">
        <v>5</v>
      </c>
      <c r="P1" s="1" t="s">
        <v>69</v>
      </c>
      <c r="Q1" s="1" t="s">
        <v>70</v>
      </c>
      <c r="R1" s="1" t="s">
        <v>71</v>
      </c>
    </row>
    <row r="2" spans="1:18" ht="30" x14ac:dyDescent="0.25">
      <c r="A2" s="3">
        <v>1</v>
      </c>
      <c r="B2" s="3">
        <v>1</v>
      </c>
      <c r="C2" s="3" t="s">
        <v>72</v>
      </c>
      <c r="D2" s="3" t="s">
        <v>73</v>
      </c>
      <c r="E2" s="3" t="s">
        <v>6</v>
      </c>
      <c r="F2" s="3" t="s">
        <v>74</v>
      </c>
      <c r="G2" s="2" t="str">
        <f>IFERROR(VLOOKUP(E2,Catálogo!A:B,2,FALSE),"")</f>
        <v>Implementar endpoint HTTP bajo /api/internal/** que retorna datos en formato JSON según contrato definido en el plan (sección 9).</v>
      </c>
      <c r="H2" s="2"/>
      <c r="I2" s="3"/>
      <c r="J2" s="3" t="s">
        <v>23</v>
      </c>
      <c r="K2" s="3" t="s">
        <v>9</v>
      </c>
      <c r="L2" s="3" t="s">
        <v>75</v>
      </c>
      <c r="M2" s="3"/>
      <c r="N2" s="3"/>
      <c r="O2" s="3" t="s">
        <v>76</v>
      </c>
      <c r="P2" s="3"/>
      <c r="Q2" s="3"/>
      <c r="R2" s="3"/>
    </row>
    <row r="3" spans="1:18" ht="30" x14ac:dyDescent="0.25">
      <c r="A3" s="3">
        <v>2</v>
      </c>
      <c r="B3" s="3">
        <v>1</v>
      </c>
      <c r="C3" s="3" t="s">
        <v>72</v>
      </c>
      <c r="D3" s="3" t="s">
        <v>73</v>
      </c>
      <c r="E3" s="3" t="s">
        <v>6</v>
      </c>
      <c r="F3" s="3" t="s">
        <v>77</v>
      </c>
      <c r="G3" s="2" t="str">
        <f>IFERROR(VLOOKUP(E3,Catálogo!A:B,2,FALSE),"")</f>
        <v>Implementar endpoint HTTP bajo /api/internal/** que retorna datos en formato JSON según contrato definido en el plan (sección 9).</v>
      </c>
      <c r="H3" s="2"/>
      <c r="I3" s="3"/>
      <c r="J3" s="3" t="s">
        <v>23</v>
      </c>
      <c r="K3" s="3" t="s">
        <v>49</v>
      </c>
      <c r="L3" s="3" t="s">
        <v>75</v>
      </c>
      <c r="M3" s="3"/>
      <c r="N3" s="3"/>
      <c r="O3" s="3" t="s">
        <v>76</v>
      </c>
      <c r="P3" s="3"/>
      <c r="Q3" s="3"/>
      <c r="R3" s="3"/>
    </row>
    <row r="4" spans="1:18" x14ac:dyDescent="0.25">
      <c r="A4" s="3">
        <v>3</v>
      </c>
      <c r="B4" s="3">
        <v>1</v>
      </c>
      <c r="C4" s="3" t="s">
        <v>72</v>
      </c>
      <c r="D4" s="3" t="s">
        <v>73</v>
      </c>
      <c r="E4" s="3" t="s">
        <v>37</v>
      </c>
      <c r="F4" s="3" t="s">
        <v>78</v>
      </c>
      <c r="G4" s="2" t="str">
        <f>IFERROR(VLOOKUP(E4,Catálogo!A:B,2,FALSE),"")</f>
        <v>Implementar filtro HTTP que valida el header X-Internal-Api-Key en todos los endpoints bajo /api/internal/**. Si el header no coincide, responde 403.</v>
      </c>
      <c r="H4" s="2"/>
      <c r="I4" s="3"/>
      <c r="J4" s="3" t="s">
        <v>23</v>
      </c>
      <c r="K4" s="3" t="s">
        <v>79</v>
      </c>
      <c r="L4" s="3" t="s">
        <v>75</v>
      </c>
      <c r="M4" s="3"/>
      <c r="N4" s="3"/>
      <c r="O4" s="3" t="s">
        <v>80</v>
      </c>
      <c r="P4" s="3"/>
      <c r="Q4" s="3"/>
      <c r="R4" s="3"/>
    </row>
    <row r="5" spans="1:18" x14ac:dyDescent="0.25">
      <c r="A5" s="3">
        <v>4</v>
      </c>
      <c r="B5" s="3">
        <v>1</v>
      </c>
      <c r="C5" s="3" t="s">
        <v>72</v>
      </c>
      <c r="D5" s="3" t="s">
        <v>73</v>
      </c>
      <c r="E5" s="3" t="s">
        <v>42</v>
      </c>
      <c r="F5" s="3" t="s">
        <v>81</v>
      </c>
      <c r="G5" s="2" t="str">
        <f>IFERROR(VLOOKUP(E5,Catálogo!A:B,2,FALSE),"")</f>
        <v>Test que cubre la lógica de un use case o entidad de dominio sin tocar infraestructura (sin Spring, sin BD, sin HTTP).</v>
      </c>
      <c r="H5" s="2"/>
      <c r="I5" s="3"/>
      <c r="J5" s="3" t="s">
        <v>23</v>
      </c>
      <c r="K5" s="3" t="s">
        <v>23</v>
      </c>
      <c r="L5" s="3" t="s">
        <v>75</v>
      </c>
      <c r="M5" s="3"/>
      <c r="N5" s="3"/>
      <c r="O5" s="3" t="s">
        <v>82</v>
      </c>
      <c r="P5" s="3"/>
      <c r="Q5" s="3"/>
      <c r="R5" s="3"/>
    </row>
    <row r="6" spans="1:18" x14ac:dyDescent="0.25">
      <c r="A6" s="3">
        <v>5</v>
      </c>
      <c r="B6" s="3">
        <v>1</v>
      </c>
      <c r="C6" s="3" t="s">
        <v>72</v>
      </c>
      <c r="D6" s="3" t="s">
        <v>73</v>
      </c>
      <c r="E6" s="3" t="s">
        <v>42</v>
      </c>
      <c r="F6" s="3" t="s">
        <v>83</v>
      </c>
      <c r="G6" s="2" t="str">
        <f>IFERROR(VLOOKUP(E6,Catálogo!A:B,2,FALSE),"")</f>
        <v>Test que cubre la lógica de un use case o entidad de dominio sin tocar infraestructura (sin Spring, sin BD, sin HTTP).</v>
      </c>
      <c r="H6" s="2"/>
      <c r="I6" s="3"/>
      <c r="J6" s="3" t="s">
        <v>23</v>
      </c>
      <c r="K6" s="3" t="s">
        <v>23</v>
      </c>
      <c r="L6" s="3" t="s">
        <v>75</v>
      </c>
      <c r="M6" s="3"/>
      <c r="N6" s="3"/>
      <c r="O6" s="3" t="s">
        <v>82</v>
      </c>
      <c r="P6" s="3"/>
      <c r="Q6" s="3"/>
      <c r="R6" s="3"/>
    </row>
    <row r="7" spans="1:18" x14ac:dyDescent="0.25">
      <c r="A7" s="3">
        <v>6</v>
      </c>
      <c r="B7" s="3">
        <v>1</v>
      </c>
      <c r="C7" s="3" t="s">
        <v>72</v>
      </c>
      <c r="D7" s="3" t="s">
        <v>73</v>
      </c>
      <c r="E7" s="3" t="s">
        <v>42</v>
      </c>
      <c r="F7" s="3" t="s">
        <v>84</v>
      </c>
      <c r="G7" s="2" t="str">
        <f>IFERROR(VLOOKUP(E7,Catálogo!A:B,2,FALSE),"")</f>
        <v>Test que cubre la lógica de un use case o entidad de dominio sin tocar infraestructura (sin Spring, sin BD, sin HTTP).</v>
      </c>
      <c r="H7" s="2"/>
      <c r="I7" s="3"/>
      <c r="J7" s="3" t="s">
        <v>23</v>
      </c>
      <c r="K7" s="3" t="s">
        <v>23</v>
      </c>
      <c r="L7" s="3" t="s">
        <v>75</v>
      </c>
      <c r="M7" s="3"/>
      <c r="N7" s="3"/>
      <c r="O7" s="3" t="s">
        <v>82</v>
      </c>
      <c r="P7" s="3"/>
      <c r="Q7" s="3"/>
      <c r="R7" s="3"/>
    </row>
    <row r="8" spans="1:18" x14ac:dyDescent="0.25">
      <c r="A8" s="3">
        <v>7</v>
      </c>
      <c r="B8" s="3">
        <v>1</v>
      </c>
      <c r="C8" s="3" t="s">
        <v>72</v>
      </c>
      <c r="D8" s="3" t="s">
        <v>73</v>
      </c>
      <c r="E8" s="3" t="s">
        <v>42</v>
      </c>
      <c r="F8" s="3" t="s">
        <v>85</v>
      </c>
      <c r="G8" s="2" t="str">
        <f>IFERROR(VLOOKUP(E8,Catálogo!A:B,2,FALSE),"")</f>
        <v>Test que cubre la lógica de un use case o entidad de dominio sin tocar infraestructura (sin Spring, sin BD, sin HTTP).</v>
      </c>
      <c r="H8" s="2"/>
      <c r="I8" s="3"/>
      <c r="J8" s="3" t="s">
        <v>23</v>
      </c>
      <c r="K8" s="3" t="s">
        <v>23</v>
      </c>
      <c r="L8" s="3" t="s">
        <v>75</v>
      </c>
      <c r="M8" s="3"/>
      <c r="N8" s="3"/>
      <c r="O8" s="3" t="s">
        <v>82</v>
      </c>
      <c r="P8" s="3"/>
      <c r="Q8" s="3"/>
      <c r="R8" s="3"/>
    </row>
    <row r="9" spans="1:18" x14ac:dyDescent="0.25">
      <c r="A9" s="3">
        <v>8</v>
      </c>
      <c r="B9" s="3">
        <v>1</v>
      </c>
      <c r="C9" s="3" t="s">
        <v>72</v>
      </c>
      <c r="D9" s="3" t="s">
        <v>73</v>
      </c>
      <c r="E9" s="3" t="s">
        <v>42</v>
      </c>
      <c r="F9" s="3" t="s">
        <v>86</v>
      </c>
      <c r="G9" s="2" t="str">
        <f>IFERROR(VLOOKUP(E9,Catálogo!A:B,2,FALSE),"")</f>
        <v>Test que cubre la lógica de un use case o entidad de dominio sin tocar infraestructura (sin Spring, sin BD, sin HTTP).</v>
      </c>
      <c r="H9" s="2"/>
      <c r="I9" s="3"/>
      <c r="J9" s="3" t="s">
        <v>23</v>
      </c>
      <c r="K9" s="3" t="s">
        <v>23</v>
      </c>
      <c r="L9" s="3" t="s">
        <v>75</v>
      </c>
      <c r="M9" s="3"/>
      <c r="N9" s="3"/>
      <c r="O9" s="3" t="s">
        <v>82</v>
      </c>
      <c r="P9" s="3"/>
      <c r="Q9" s="3"/>
      <c r="R9" s="3"/>
    </row>
    <row r="10" spans="1:18" x14ac:dyDescent="0.25">
      <c r="A10" s="3">
        <v>9</v>
      </c>
      <c r="B10" s="3">
        <v>1</v>
      </c>
      <c r="C10" s="3" t="s">
        <v>72</v>
      </c>
      <c r="D10" s="3" t="s">
        <v>73</v>
      </c>
      <c r="E10" s="3" t="s">
        <v>42</v>
      </c>
      <c r="F10" s="3" t="s">
        <v>87</v>
      </c>
      <c r="G10" s="2" t="str">
        <f>IFERROR(VLOOKUP(E10,Catálogo!A:B,2,FALSE),"")</f>
        <v>Test que cubre la lógica de un use case o entidad de dominio sin tocar infraestructura (sin Spring, sin BD, sin HTTP).</v>
      </c>
      <c r="H10" s="2"/>
      <c r="I10" s="3"/>
      <c r="J10" s="3" t="s">
        <v>23</v>
      </c>
      <c r="K10" s="3" t="s">
        <v>23</v>
      </c>
      <c r="L10" s="3" t="s">
        <v>75</v>
      </c>
      <c r="M10" s="3"/>
      <c r="N10" s="3"/>
      <c r="O10" s="3" t="s">
        <v>82</v>
      </c>
      <c r="P10" s="3"/>
      <c r="Q10" s="3"/>
      <c r="R10" s="3"/>
    </row>
    <row r="11" spans="1:18" x14ac:dyDescent="0.25">
      <c r="A11" s="3">
        <v>10</v>
      </c>
      <c r="B11" s="3">
        <v>1</v>
      </c>
      <c r="C11" s="3" t="s">
        <v>72</v>
      </c>
      <c r="D11" s="3" t="s">
        <v>73</v>
      </c>
      <c r="E11" s="3" t="s">
        <v>42</v>
      </c>
      <c r="F11" s="3" t="s">
        <v>88</v>
      </c>
      <c r="G11" s="2" t="str">
        <f>IFERROR(VLOOKUP(E11,Catálogo!A:B,2,FALSE),"")</f>
        <v>Test que cubre la lógica de un use case o entidad de dominio sin tocar infraestructura (sin Spring, sin BD, sin HTTP).</v>
      </c>
      <c r="H11" s="2"/>
      <c r="I11" s="3"/>
      <c r="J11" s="3" t="s">
        <v>23</v>
      </c>
      <c r="K11" s="3" t="s">
        <v>23</v>
      </c>
      <c r="L11" s="3" t="s">
        <v>75</v>
      </c>
      <c r="M11" s="3"/>
      <c r="N11" s="3"/>
      <c r="O11" s="3" t="s">
        <v>82</v>
      </c>
      <c r="P11" s="3"/>
      <c r="Q11" s="3"/>
      <c r="R11" s="3"/>
    </row>
    <row r="12" spans="1:18" x14ac:dyDescent="0.25">
      <c r="A12" s="3">
        <v>11</v>
      </c>
      <c r="B12" s="3">
        <v>1</v>
      </c>
      <c r="C12" s="3" t="s">
        <v>72</v>
      </c>
      <c r="D12" s="3" t="s">
        <v>73</v>
      </c>
      <c r="E12" s="3" t="s">
        <v>49</v>
      </c>
      <c r="F12" s="3" t="s">
        <v>89</v>
      </c>
      <c r="G12" s="2" t="str">
        <f>IFERROR(VLOOKUP(E12,Catálogo!A:B,2,FALSE),"")</f>
        <v>Test que valida un endpoint interno propio: request, respuesta esperada, status code. Usa MockMvc.</v>
      </c>
      <c r="H12" s="2"/>
      <c r="I12" s="3"/>
      <c r="J12" s="3" t="s">
        <v>23</v>
      </c>
      <c r="K12" s="3" t="s">
        <v>23</v>
      </c>
      <c r="L12" s="3" t="s">
        <v>75</v>
      </c>
      <c r="M12" s="3"/>
      <c r="N12" s="3"/>
      <c r="O12" s="3" t="s">
        <v>82</v>
      </c>
      <c r="P12" s="3"/>
      <c r="Q12" s="3"/>
      <c r="R12" s="3"/>
    </row>
    <row r="13" spans="1:18" x14ac:dyDescent="0.25">
      <c r="A13" s="3">
        <v>12</v>
      </c>
      <c r="B13" s="3">
        <v>1</v>
      </c>
      <c r="C13" s="3" t="s">
        <v>72</v>
      </c>
      <c r="D13" s="3" t="s">
        <v>73</v>
      </c>
      <c r="E13" s="3" t="s">
        <v>49</v>
      </c>
      <c r="F13" s="3" t="s">
        <v>90</v>
      </c>
      <c r="G13" s="2" t="str">
        <f>IFERROR(VLOOKUP(E13,Catálogo!A:B,2,FALSE),"")</f>
        <v>Test que valida un endpoint interno propio: request, respuesta esperada, status code. Usa MockMvc.</v>
      </c>
      <c r="H13" s="2"/>
      <c r="I13" s="3"/>
      <c r="J13" s="3" t="s">
        <v>23</v>
      </c>
      <c r="K13" s="3" t="s">
        <v>23</v>
      </c>
      <c r="L13" s="3" t="s">
        <v>75</v>
      </c>
      <c r="M13" s="3"/>
      <c r="N13" s="3"/>
      <c r="O13" s="3" t="s">
        <v>82</v>
      </c>
      <c r="P13" s="3"/>
      <c r="Q13" s="3"/>
      <c r="R13" s="3"/>
    </row>
    <row r="14" spans="1:18" x14ac:dyDescent="0.25">
      <c r="A14" s="3">
        <v>13</v>
      </c>
      <c r="B14" s="3">
        <v>1</v>
      </c>
      <c r="C14" s="3" t="s">
        <v>72</v>
      </c>
      <c r="D14" s="3" t="s">
        <v>73</v>
      </c>
      <c r="E14" s="3" t="s">
        <v>49</v>
      </c>
      <c r="F14" s="3" t="s">
        <v>91</v>
      </c>
      <c r="G14" s="2" t="str">
        <f>IFERROR(VLOOKUP(E14,Catálogo!A:B,2,FALSE),"")</f>
        <v>Test que valida un endpoint interno propio: request, respuesta esperada, status code. Usa MockMvc.</v>
      </c>
      <c r="H14" s="2"/>
      <c r="I14" s="3"/>
      <c r="J14" s="3" t="s">
        <v>23</v>
      </c>
      <c r="K14" s="3" t="s">
        <v>23</v>
      </c>
      <c r="L14" s="3" t="s">
        <v>75</v>
      </c>
      <c r="M14" s="3"/>
      <c r="N14" s="3"/>
      <c r="O14" s="3" t="s">
        <v>82</v>
      </c>
      <c r="P14" s="3"/>
      <c r="Q14" s="3"/>
      <c r="R14" s="3"/>
    </row>
    <row r="15" spans="1:18" x14ac:dyDescent="0.25">
      <c r="A15" s="3">
        <v>14</v>
      </c>
      <c r="B15" s="3">
        <v>1</v>
      </c>
      <c r="C15" s="3" t="s">
        <v>72</v>
      </c>
      <c r="D15" s="3" t="s">
        <v>73</v>
      </c>
      <c r="E15" s="3" t="s">
        <v>49</v>
      </c>
      <c r="F15" s="3" t="s">
        <v>92</v>
      </c>
      <c r="G15" s="2" t="str">
        <f>IFERROR(VLOOKUP(E15,Catálogo!A:B,2,FALSE),"")</f>
        <v>Test que valida un endpoint interno propio: request, respuesta esperada, status code. Usa MockMvc.</v>
      </c>
      <c r="H15" s="2"/>
      <c r="I15" s="3"/>
      <c r="J15" s="3" t="s">
        <v>23</v>
      </c>
      <c r="K15" s="3" t="s">
        <v>23</v>
      </c>
      <c r="L15" s="3" t="s">
        <v>75</v>
      </c>
      <c r="M15" s="3"/>
      <c r="N15" s="3"/>
      <c r="O15" s="3" t="s">
        <v>82</v>
      </c>
      <c r="P15" s="3"/>
      <c r="Q15" s="3"/>
      <c r="R15" s="3"/>
    </row>
    <row r="16" spans="1:18" ht="30" x14ac:dyDescent="0.25">
      <c r="A16" s="3">
        <v>15</v>
      </c>
      <c r="B16" s="3">
        <v>1</v>
      </c>
      <c r="C16" s="3" t="s">
        <v>72</v>
      </c>
      <c r="D16" s="3" t="s">
        <v>73</v>
      </c>
      <c r="E16" s="3" t="s">
        <v>52</v>
      </c>
      <c r="F16" s="3" t="s">
        <v>93</v>
      </c>
      <c r="G16" s="2" t="str">
        <f>IFERROR(VLOOKUP(E16,Catálogo!A:B,2,FALSE),"")</f>
        <v>Test que verifica que el JSON de respuesta de un endpoint interno tiene EXACTAMENTE los campos que los servicios consumidores esperan (nombres, tipos, nullabilidad).</v>
      </c>
      <c r="H16" s="2"/>
      <c r="I16" s="3"/>
      <c r="J16" s="3" t="s">
        <v>23</v>
      </c>
      <c r="K16" s="3" t="s">
        <v>23</v>
      </c>
      <c r="L16" s="3" t="s">
        <v>75</v>
      </c>
      <c r="M16" s="3"/>
      <c r="N16" s="3"/>
      <c r="O16" s="3" t="s">
        <v>94</v>
      </c>
      <c r="P16" s="3"/>
      <c r="Q16" s="3"/>
      <c r="R16" s="3"/>
    </row>
    <row r="17" spans="1:18" ht="30" x14ac:dyDescent="0.25">
      <c r="A17" s="3">
        <v>16</v>
      </c>
      <c r="B17" s="3">
        <v>3</v>
      </c>
      <c r="C17" s="3" t="s">
        <v>72</v>
      </c>
      <c r="D17" s="3" t="s">
        <v>73</v>
      </c>
      <c r="E17" s="3" t="s">
        <v>20</v>
      </c>
      <c r="F17" s="3" t="s">
        <v>95</v>
      </c>
      <c r="G17" s="2" t="str">
        <f>IFERROR(VLOOKUP(E17,Catálogo!A:B,2,FALSE),"")</f>
        <v>Definir el DDL de las tablas propias del servicio en un script SQL versionado. Cada tabla es propiedad exclusiva del servicio.</v>
      </c>
      <c r="H17" s="2"/>
      <c r="I17" s="3"/>
      <c r="J17" s="3" t="s">
        <v>23</v>
      </c>
      <c r="K17" s="3" t="s">
        <v>23</v>
      </c>
      <c r="L17" s="3" t="s">
        <v>75</v>
      </c>
      <c r="M17" s="3"/>
      <c r="N17" s="3"/>
      <c r="O17" s="3" t="s">
        <v>96</v>
      </c>
      <c r="P17" s="3"/>
      <c r="Q17" s="3"/>
      <c r="R17" s="3"/>
    </row>
    <row r="18" spans="1:18" x14ac:dyDescent="0.25">
      <c r="A18" s="3">
        <v>17</v>
      </c>
      <c r="B18" s="3">
        <v>3</v>
      </c>
      <c r="C18" s="3" t="s">
        <v>72</v>
      </c>
      <c r="D18" s="3" t="s">
        <v>73</v>
      </c>
      <c r="E18" s="3" t="s">
        <v>29</v>
      </c>
      <c r="F18" s="3" t="s">
        <v>97</v>
      </c>
      <c r="G18" s="2" t="str">
        <f>IFERROR(VLOOKUP(E18,Catálogo!A:B,2,FALSE),"")</f>
        <v>Actualizar application.yml / .env del servicio para apuntar a su propia base de datos (SUPABASE_URL, SUPABASE_SERVICE_ROLE_KEY propios).</v>
      </c>
      <c r="H18" s="2"/>
      <c r="I18" s="3"/>
      <c r="J18" s="3" t="s">
        <v>98</v>
      </c>
      <c r="K18" s="3" t="s">
        <v>23</v>
      </c>
      <c r="L18" s="3" t="s">
        <v>75</v>
      </c>
      <c r="M18" s="3"/>
      <c r="N18" s="3"/>
      <c r="O18" s="3" t="s">
        <v>99</v>
      </c>
      <c r="P18" s="3"/>
      <c r="Q18" s="3"/>
      <c r="R18" s="3"/>
    </row>
    <row r="19" spans="1:18" x14ac:dyDescent="0.25">
      <c r="A19" s="3">
        <v>18</v>
      </c>
      <c r="B19" s="3">
        <v>3</v>
      </c>
      <c r="C19" s="3" t="s">
        <v>72</v>
      </c>
      <c r="D19" s="3" t="s">
        <v>73</v>
      </c>
      <c r="E19" s="3" t="s">
        <v>25</v>
      </c>
      <c r="F19" s="3" t="s">
        <v>100</v>
      </c>
      <c r="G19" s="2" t="str">
        <f>IFERROR(VLOOKUP(E19,Catálogo!A:B,2,FALSE),"")</f>
        <v>Generar script que popula la BD del servicio con datos demo realistas para desarrollo y tests.</v>
      </c>
      <c r="H19" s="2"/>
      <c r="I19" s="3"/>
      <c r="J19" s="3" t="s">
        <v>98</v>
      </c>
      <c r="K19" s="3" t="s">
        <v>23</v>
      </c>
      <c r="L19" s="3" t="s">
        <v>75</v>
      </c>
      <c r="M19" s="3"/>
      <c r="N19" s="3"/>
      <c r="O19" s="3" t="s">
        <v>101</v>
      </c>
      <c r="P19" s="3"/>
      <c r="Q19" s="3"/>
      <c r="R19" s="3"/>
    </row>
    <row r="20" spans="1:18" ht="30" x14ac:dyDescent="0.25">
      <c r="A20" s="3">
        <v>19</v>
      </c>
      <c r="B20" s="3">
        <v>1</v>
      </c>
      <c r="C20" s="3" t="s">
        <v>102</v>
      </c>
      <c r="D20" s="3" t="s">
        <v>103</v>
      </c>
      <c r="E20" s="3" t="s">
        <v>6</v>
      </c>
      <c r="F20" s="3" t="s">
        <v>104</v>
      </c>
      <c r="G20" s="2" t="str">
        <f>IFERROR(VLOOKUP(E20,Catálogo!A:B,2,FALSE),"")</f>
        <v>Implementar endpoint HTTP bajo /api/internal/** que retorna datos en formato JSON según contrato definido en el plan (sección 9).</v>
      </c>
      <c r="H20" s="2"/>
      <c r="I20" s="3"/>
      <c r="J20" s="3" t="s">
        <v>23</v>
      </c>
      <c r="K20" s="3" t="s">
        <v>9</v>
      </c>
      <c r="L20" s="3" t="s">
        <v>75</v>
      </c>
      <c r="M20" s="3"/>
      <c r="N20" s="3"/>
      <c r="O20" s="3" t="s">
        <v>105</v>
      </c>
      <c r="P20" s="3"/>
      <c r="Q20" s="3"/>
      <c r="R20" s="3"/>
    </row>
    <row r="21" spans="1:18" ht="30" x14ac:dyDescent="0.25">
      <c r="A21" s="3">
        <v>20</v>
      </c>
      <c r="B21" s="3">
        <v>1</v>
      </c>
      <c r="C21" s="3" t="s">
        <v>102</v>
      </c>
      <c r="D21" s="3" t="s">
        <v>103</v>
      </c>
      <c r="E21" s="3" t="s">
        <v>6</v>
      </c>
      <c r="F21" s="3" t="s">
        <v>106</v>
      </c>
      <c r="G21" s="2" t="str">
        <f>IFERROR(VLOOKUP(E21,Catálogo!A:B,2,FALSE),"")</f>
        <v>Implementar endpoint HTTP bajo /api/internal/** que retorna datos en formato JSON según contrato definido en el plan (sección 9).</v>
      </c>
      <c r="H21" s="2"/>
      <c r="I21" s="3"/>
      <c r="J21" s="3" t="s">
        <v>23</v>
      </c>
      <c r="K21" s="3" t="s">
        <v>9</v>
      </c>
      <c r="L21" s="3" t="s">
        <v>75</v>
      </c>
      <c r="M21" s="3"/>
      <c r="N21" s="3"/>
      <c r="O21" s="3" t="s">
        <v>105</v>
      </c>
      <c r="P21" s="3"/>
      <c r="Q21" s="3"/>
      <c r="R21" s="3"/>
    </row>
    <row r="22" spans="1:18" ht="30" x14ac:dyDescent="0.25">
      <c r="A22" s="3">
        <v>21</v>
      </c>
      <c r="B22" s="3">
        <v>1</v>
      </c>
      <c r="C22" s="3" t="s">
        <v>102</v>
      </c>
      <c r="D22" s="3" t="s">
        <v>103</v>
      </c>
      <c r="E22" s="3" t="s">
        <v>6</v>
      </c>
      <c r="F22" s="3" t="s">
        <v>107</v>
      </c>
      <c r="G22" s="2" t="str">
        <f>IFERROR(VLOOKUP(E22,Catálogo!A:B,2,FALSE),"")</f>
        <v>Implementar endpoint HTTP bajo /api/internal/** que retorna datos en formato JSON según contrato definido en el plan (sección 9).</v>
      </c>
      <c r="H22" s="2"/>
      <c r="I22" s="3"/>
      <c r="J22" s="3" t="s">
        <v>23</v>
      </c>
      <c r="K22" s="3" t="s">
        <v>49</v>
      </c>
      <c r="L22" s="3" t="s">
        <v>75</v>
      </c>
      <c r="M22" s="3"/>
      <c r="N22" s="3"/>
      <c r="O22" s="3" t="s">
        <v>105</v>
      </c>
      <c r="P22" s="3"/>
      <c r="Q22" s="3"/>
      <c r="R22" s="3"/>
    </row>
    <row r="23" spans="1:18" x14ac:dyDescent="0.25">
      <c r="A23" s="3">
        <v>22</v>
      </c>
      <c r="B23" s="3">
        <v>1</v>
      </c>
      <c r="C23" s="3" t="s">
        <v>102</v>
      </c>
      <c r="D23" s="3" t="s">
        <v>103</v>
      </c>
      <c r="E23" s="3" t="s">
        <v>37</v>
      </c>
      <c r="F23" s="3" t="s">
        <v>108</v>
      </c>
      <c r="G23" s="2" t="str">
        <f>IFERROR(VLOOKUP(E23,Catálogo!A:B,2,FALSE),"")</f>
        <v>Implementar filtro HTTP que valida el header X-Internal-Api-Key en todos los endpoints bajo /api/internal/**. Si el header no coincide, responde 403.</v>
      </c>
      <c r="H23" s="2"/>
      <c r="I23" s="3"/>
      <c r="J23" s="3" t="s">
        <v>23</v>
      </c>
      <c r="K23" s="3" t="s">
        <v>79</v>
      </c>
      <c r="L23" s="3" t="s">
        <v>75</v>
      </c>
      <c r="M23" s="3"/>
      <c r="N23" s="3"/>
      <c r="O23" s="3" t="s">
        <v>109</v>
      </c>
      <c r="P23" s="3"/>
      <c r="Q23" s="3"/>
      <c r="R23" s="3"/>
    </row>
    <row r="24" spans="1:18" x14ac:dyDescent="0.25">
      <c r="A24" s="3">
        <v>23</v>
      </c>
      <c r="B24" s="3">
        <v>1</v>
      </c>
      <c r="C24" s="3" t="s">
        <v>102</v>
      </c>
      <c r="D24" s="3" t="s">
        <v>103</v>
      </c>
      <c r="E24" s="3" t="s">
        <v>42</v>
      </c>
      <c r="F24" s="3" t="s">
        <v>110</v>
      </c>
      <c r="G24" s="2" t="str">
        <f>IFERROR(VLOOKUP(E24,Catálogo!A:B,2,FALSE),"")</f>
        <v>Test que cubre la lógica de un use case o entidad de dominio sin tocar infraestructura (sin Spring, sin BD, sin HTTP).</v>
      </c>
      <c r="H24" s="2"/>
      <c r="I24" s="3"/>
      <c r="J24" s="3" t="s">
        <v>23</v>
      </c>
      <c r="K24" s="3" t="s">
        <v>23</v>
      </c>
      <c r="L24" s="3" t="s">
        <v>75</v>
      </c>
      <c r="M24" s="3"/>
      <c r="N24" s="3"/>
      <c r="O24" s="3" t="s">
        <v>111</v>
      </c>
      <c r="P24" s="3"/>
      <c r="Q24" s="3"/>
      <c r="R24" s="3"/>
    </row>
    <row r="25" spans="1:18" x14ac:dyDescent="0.25">
      <c r="A25" s="3">
        <v>24</v>
      </c>
      <c r="B25" s="3">
        <v>1</v>
      </c>
      <c r="C25" s="3" t="s">
        <v>102</v>
      </c>
      <c r="D25" s="3" t="s">
        <v>103</v>
      </c>
      <c r="E25" s="3" t="s">
        <v>42</v>
      </c>
      <c r="F25" s="3" t="s">
        <v>112</v>
      </c>
      <c r="G25" s="2" t="str">
        <f>IFERROR(VLOOKUP(E25,Catálogo!A:B,2,FALSE),"")</f>
        <v>Test que cubre la lógica de un use case o entidad de dominio sin tocar infraestructura (sin Spring, sin BD, sin HTTP).</v>
      </c>
      <c r="H25" s="2"/>
      <c r="I25" s="3"/>
      <c r="J25" s="3" t="s">
        <v>23</v>
      </c>
      <c r="K25" s="3" t="s">
        <v>23</v>
      </c>
      <c r="L25" s="3" t="s">
        <v>75</v>
      </c>
      <c r="M25" s="3"/>
      <c r="N25" s="3"/>
      <c r="O25" s="3" t="s">
        <v>111</v>
      </c>
      <c r="P25" s="3"/>
      <c r="Q25" s="3"/>
      <c r="R25" s="3"/>
    </row>
    <row r="26" spans="1:18" x14ac:dyDescent="0.25">
      <c r="A26" s="3">
        <v>25</v>
      </c>
      <c r="B26" s="3">
        <v>1</v>
      </c>
      <c r="C26" s="3" t="s">
        <v>102</v>
      </c>
      <c r="D26" s="3" t="s">
        <v>103</v>
      </c>
      <c r="E26" s="3" t="s">
        <v>42</v>
      </c>
      <c r="F26" s="3" t="s">
        <v>113</v>
      </c>
      <c r="G26" s="2" t="str">
        <f>IFERROR(VLOOKUP(E26,Catálogo!A:B,2,FALSE),"")</f>
        <v>Test que cubre la lógica de un use case o entidad de dominio sin tocar infraestructura (sin Spring, sin BD, sin HTTP).</v>
      </c>
      <c r="H26" s="2"/>
      <c r="I26" s="3"/>
      <c r="J26" s="3" t="s">
        <v>23</v>
      </c>
      <c r="K26" s="3" t="s">
        <v>23</v>
      </c>
      <c r="L26" s="3" t="s">
        <v>75</v>
      </c>
      <c r="M26" s="3"/>
      <c r="N26" s="3"/>
      <c r="O26" s="3" t="s">
        <v>111</v>
      </c>
      <c r="P26" s="3"/>
      <c r="Q26" s="3"/>
      <c r="R26" s="3"/>
    </row>
    <row r="27" spans="1:18" x14ac:dyDescent="0.25">
      <c r="A27" s="3">
        <v>26</v>
      </c>
      <c r="B27" s="3">
        <v>1</v>
      </c>
      <c r="C27" s="3" t="s">
        <v>102</v>
      </c>
      <c r="D27" s="3" t="s">
        <v>103</v>
      </c>
      <c r="E27" s="3" t="s">
        <v>42</v>
      </c>
      <c r="F27" s="3" t="s">
        <v>114</v>
      </c>
      <c r="G27" s="2" t="str">
        <f>IFERROR(VLOOKUP(E27,Catálogo!A:B,2,FALSE),"")</f>
        <v>Test que cubre la lógica de un use case o entidad de dominio sin tocar infraestructura (sin Spring, sin BD, sin HTTP).</v>
      </c>
      <c r="H27" s="2"/>
      <c r="I27" s="3"/>
      <c r="J27" s="3" t="s">
        <v>23</v>
      </c>
      <c r="K27" s="3" t="s">
        <v>23</v>
      </c>
      <c r="L27" s="3" t="s">
        <v>75</v>
      </c>
      <c r="M27" s="3"/>
      <c r="N27" s="3"/>
      <c r="O27" s="3" t="s">
        <v>111</v>
      </c>
      <c r="P27" s="3"/>
      <c r="Q27" s="3"/>
      <c r="R27" s="3"/>
    </row>
    <row r="28" spans="1:18" x14ac:dyDescent="0.25">
      <c r="A28" s="3">
        <v>27</v>
      </c>
      <c r="B28" s="3">
        <v>1</v>
      </c>
      <c r="C28" s="3" t="s">
        <v>102</v>
      </c>
      <c r="D28" s="3" t="s">
        <v>103</v>
      </c>
      <c r="E28" s="3" t="s">
        <v>42</v>
      </c>
      <c r="F28" s="3" t="s">
        <v>115</v>
      </c>
      <c r="G28" s="2" t="str">
        <f>IFERROR(VLOOKUP(E28,Catálogo!A:B,2,FALSE),"")</f>
        <v>Test que cubre la lógica de un use case o entidad de dominio sin tocar infraestructura (sin Spring, sin BD, sin HTTP).</v>
      </c>
      <c r="H28" s="2"/>
      <c r="I28" s="3"/>
      <c r="J28" s="3" t="s">
        <v>23</v>
      </c>
      <c r="K28" s="3" t="s">
        <v>23</v>
      </c>
      <c r="L28" s="3" t="s">
        <v>75</v>
      </c>
      <c r="M28" s="3"/>
      <c r="N28" s="3"/>
      <c r="O28" s="3" t="s">
        <v>111</v>
      </c>
      <c r="P28" s="3"/>
      <c r="Q28" s="3"/>
      <c r="R28" s="3"/>
    </row>
    <row r="29" spans="1:18" x14ac:dyDescent="0.25">
      <c r="A29" s="3">
        <v>28</v>
      </c>
      <c r="B29" s="3">
        <v>1</v>
      </c>
      <c r="C29" s="3" t="s">
        <v>102</v>
      </c>
      <c r="D29" s="3" t="s">
        <v>103</v>
      </c>
      <c r="E29" s="3" t="s">
        <v>42</v>
      </c>
      <c r="F29" s="3" t="s">
        <v>116</v>
      </c>
      <c r="G29" s="2" t="str">
        <f>IFERROR(VLOOKUP(E29,Catálogo!A:B,2,FALSE),"")</f>
        <v>Test que cubre la lógica de un use case o entidad de dominio sin tocar infraestructura (sin Spring, sin BD, sin HTTP).</v>
      </c>
      <c r="H29" s="2"/>
      <c r="I29" s="3"/>
      <c r="J29" s="3" t="s">
        <v>23</v>
      </c>
      <c r="K29" s="3" t="s">
        <v>23</v>
      </c>
      <c r="L29" s="3" t="s">
        <v>75</v>
      </c>
      <c r="M29" s="3"/>
      <c r="N29" s="3"/>
      <c r="O29" s="3" t="s">
        <v>111</v>
      </c>
      <c r="P29" s="3"/>
      <c r="Q29" s="3"/>
      <c r="R29" s="3"/>
    </row>
    <row r="30" spans="1:18" ht="45" x14ac:dyDescent="0.25">
      <c r="A30" s="3">
        <v>29</v>
      </c>
      <c r="B30" s="3">
        <v>1</v>
      </c>
      <c r="C30" s="3" t="s">
        <v>102</v>
      </c>
      <c r="D30" s="3" t="s">
        <v>103</v>
      </c>
      <c r="E30" s="3" t="s">
        <v>42</v>
      </c>
      <c r="F30" s="3" t="s">
        <v>117</v>
      </c>
      <c r="G30" s="2" t="str">
        <f>IFERROR(VLOOKUP(E30,Catálogo!A:B,2,FALSE),"")</f>
        <v>Test que cubre la lógica de un use case o entidad de dominio sin tocar infraestructura (sin Spring, sin BD, sin HTTP).</v>
      </c>
      <c r="H30" s="2"/>
      <c r="I30" s="3"/>
      <c r="J30" s="3" t="s">
        <v>23</v>
      </c>
      <c r="K30" s="3" t="s">
        <v>23</v>
      </c>
      <c r="L30" s="3" t="s">
        <v>75</v>
      </c>
      <c r="M30" s="3"/>
      <c r="N30" s="3"/>
      <c r="O30" s="3" t="s">
        <v>111</v>
      </c>
      <c r="P30" s="3"/>
      <c r="Q30" s="3"/>
      <c r="R30" s="3"/>
    </row>
    <row r="31" spans="1:18" ht="30" x14ac:dyDescent="0.25">
      <c r="A31" s="3">
        <v>30</v>
      </c>
      <c r="B31" s="3">
        <v>1</v>
      </c>
      <c r="C31" s="3" t="s">
        <v>102</v>
      </c>
      <c r="D31" s="3" t="s">
        <v>103</v>
      </c>
      <c r="E31" s="3" t="s">
        <v>49</v>
      </c>
      <c r="F31" s="3" t="s">
        <v>118</v>
      </c>
      <c r="G31" s="2" t="str">
        <f>IFERROR(VLOOKUP(E31,Catálogo!A:B,2,FALSE),"")</f>
        <v>Test que valida un endpoint interno propio: request, respuesta esperada, status code. Usa MockMvc.</v>
      </c>
      <c r="H31" s="2"/>
      <c r="I31" s="3"/>
      <c r="J31" s="3" t="s">
        <v>23</v>
      </c>
      <c r="K31" s="3" t="s">
        <v>23</v>
      </c>
      <c r="L31" s="3" t="s">
        <v>75</v>
      </c>
      <c r="M31" s="3"/>
      <c r="N31" s="3"/>
      <c r="O31" s="3" t="s">
        <v>111</v>
      </c>
      <c r="P31" s="3"/>
      <c r="Q31" s="3"/>
      <c r="R31" s="3"/>
    </row>
    <row r="32" spans="1:18" ht="30" x14ac:dyDescent="0.25">
      <c r="A32" s="3">
        <v>31</v>
      </c>
      <c r="B32" s="3">
        <v>1</v>
      </c>
      <c r="C32" s="3" t="s">
        <v>102</v>
      </c>
      <c r="D32" s="3" t="s">
        <v>103</v>
      </c>
      <c r="E32" s="3" t="s">
        <v>49</v>
      </c>
      <c r="F32" s="3" t="s">
        <v>119</v>
      </c>
      <c r="G32" s="2" t="str">
        <f>IFERROR(VLOOKUP(E32,Catálogo!A:B,2,FALSE),"")</f>
        <v>Test que valida un endpoint interno propio: request, respuesta esperada, status code. Usa MockMvc.</v>
      </c>
      <c r="H32" s="2"/>
      <c r="I32" s="3"/>
      <c r="J32" s="3" t="s">
        <v>23</v>
      </c>
      <c r="K32" s="3" t="s">
        <v>23</v>
      </c>
      <c r="L32" s="3" t="s">
        <v>75</v>
      </c>
      <c r="M32" s="3"/>
      <c r="N32" s="3"/>
      <c r="O32" s="3" t="s">
        <v>111</v>
      </c>
      <c r="P32" s="3"/>
      <c r="Q32" s="3"/>
      <c r="R32" s="3"/>
    </row>
    <row r="33" spans="1:18" ht="30" x14ac:dyDescent="0.25">
      <c r="A33" s="3">
        <v>32</v>
      </c>
      <c r="B33" s="3">
        <v>1</v>
      </c>
      <c r="C33" s="3" t="s">
        <v>102</v>
      </c>
      <c r="D33" s="3" t="s">
        <v>103</v>
      </c>
      <c r="E33" s="3" t="s">
        <v>49</v>
      </c>
      <c r="F33" s="3" t="s">
        <v>120</v>
      </c>
      <c r="G33" s="2" t="str">
        <f>IFERROR(VLOOKUP(E33,Catálogo!A:B,2,FALSE),"")</f>
        <v>Test que valida un endpoint interno propio: request, respuesta esperada, status code. Usa MockMvc.</v>
      </c>
      <c r="H33" s="2"/>
      <c r="I33" s="3"/>
      <c r="J33" s="3" t="s">
        <v>23</v>
      </c>
      <c r="K33" s="3" t="s">
        <v>23</v>
      </c>
      <c r="L33" s="3" t="s">
        <v>75</v>
      </c>
      <c r="M33" s="3"/>
      <c r="N33" s="3"/>
      <c r="O33" s="3" t="s">
        <v>111</v>
      </c>
      <c r="P33" s="3"/>
      <c r="Q33" s="3"/>
      <c r="R33" s="3"/>
    </row>
    <row r="34" spans="1:18" ht="30" x14ac:dyDescent="0.25">
      <c r="A34" s="3">
        <v>33</v>
      </c>
      <c r="B34" s="3">
        <v>1</v>
      </c>
      <c r="C34" s="3" t="s">
        <v>102</v>
      </c>
      <c r="D34" s="3" t="s">
        <v>103</v>
      </c>
      <c r="E34" s="3" t="s">
        <v>49</v>
      </c>
      <c r="F34" s="3" t="s">
        <v>121</v>
      </c>
      <c r="G34" s="2" t="str">
        <f>IFERROR(VLOOKUP(E34,Catálogo!A:B,2,FALSE),"")</f>
        <v>Test que valida un endpoint interno propio: request, respuesta esperada, status code. Usa MockMvc.</v>
      </c>
      <c r="H34" s="2"/>
      <c r="I34" s="3"/>
      <c r="J34" s="3" t="s">
        <v>23</v>
      </c>
      <c r="K34" s="3" t="s">
        <v>23</v>
      </c>
      <c r="L34" s="3" t="s">
        <v>75</v>
      </c>
      <c r="M34" s="3"/>
      <c r="N34" s="3"/>
      <c r="O34" s="3" t="s">
        <v>111</v>
      </c>
      <c r="P34" s="3"/>
      <c r="Q34" s="3"/>
      <c r="R34" s="3"/>
    </row>
    <row r="35" spans="1:18" ht="30" x14ac:dyDescent="0.25">
      <c r="A35" s="3">
        <v>34</v>
      </c>
      <c r="B35" s="3">
        <v>1</v>
      </c>
      <c r="C35" s="3" t="s">
        <v>102</v>
      </c>
      <c r="D35" s="3" t="s">
        <v>103</v>
      </c>
      <c r="E35" s="3" t="s">
        <v>49</v>
      </c>
      <c r="F35" s="3" t="s">
        <v>122</v>
      </c>
      <c r="G35" s="2" t="str">
        <f>IFERROR(VLOOKUP(E35,Catálogo!A:B,2,FALSE),"")</f>
        <v>Test que valida un endpoint interno propio: request, respuesta esperada, status code. Usa MockMvc.</v>
      </c>
      <c r="H35" s="2"/>
      <c r="I35" s="3"/>
      <c r="J35" s="3" t="s">
        <v>23</v>
      </c>
      <c r="K35" s="3" t="s">
        <v>23</v>
      </c>
      <c r="L35" s="3" t="s">
        <v>75</v>
      </c>
      <c r="M35" s="3"/>
      <c r="N35" s="3"/>
      <c r="O35" s="3" t="s">
        <v>111</v>
      </c>
      <c r="P35" s="3"/>
      <c r="Q35" s="3"/>
      <c r="R35" s="3"/>
    </row>
    <row r="36" spans="1:18" ht="60" x14ac:dyDescent="0.25">
      <c r="A36" s="3">
        <v>35</v>
      </c>
      <c r="B36" s="3">
        <v>1</v>
      </c>
      <c r="C36" s="3" t="s">
        <v>102</v>
      </c>
      <c r="D36" s="3" t="s">
        <v>103</v>
      </c>
      <c r="E36" s="3" t="s">
        <v>52</v>
      </c>
      <c r="F36" s="3" t="s">
        <v>123</v>
      </c>
      <c r="G36" s="2" t="str">
        <f>IFERROR(VLOOKUP(E36,Catálogo!A:B,2,FALSE),"")</f>
        <v>Test que verifica que el JSON de respuesta de un endpoint interno tiene EXACTAMENTE los campos que los servicios consumidores esperan (nombres, tipos, nullabilidad).</v>
      </c>
      <c r="H36" s="2"/>
      <c r="I36" s="3"/>
      <c r="J36" s="3" t="s">
        <v>23</v>
      </c>
      <c r="K36" s="3" t="s">
        <v>23</v>
      </c>
      <c r="L36" s="3" t="s">
        <v>75</v>
      </c>
      <c r="M36" s="3"/>
      <c r="N36" s="3"/>
      <c r="O36" s="3" t="s">
        <v>124</v>
      </c>
      <c r="P36" s="3"/>
      <c r="Q36" s="3"/>
      <c r="R36" s="3"/>
    </row>
    <row r="37" spans="1:18" ht="60" x14ac:dyDescent="0.25">
      <c r="A37" s="3">
        <v>36</v>
      </c>
      <c r="B37" s="3">
        <v>1</v>
      </c>
      <c r="C37" s="3" t="s">
        <v>102</v>
      </c>
      <c r="D37" s="3" t="s">
        <v>103</v>
      </c>
      <c r="E37" s="3" t="s">
        <v>52</v>
      </c>
      <c r="F37" s="3" t="s">
        <v>125</v>
      </c>
      <c r="G37" s="2" t="str">
        <f>IFERROR(VLOOKUP(E37,Catálogo!A:B,2,FALSE),"")</f>
        <v>Test que verifica que el JSON de respuesta de un endpoint interno tiene EXACTAMENTE los campos que los servicios consumidores esperan (nombres, tipos, nullabilidad).</v>
      </c>
      <c r="H37" s="2"/>
      <c r="I37" s="3"/>
      <c r="J37" s="3" t="s">
        <v>23</v>
      </c>
      <c r="K37" s="3" t="s">
        <v>23</v>
      </c>
      <c r="L37" s="3" t="s">
        <v>75</v>
      </c>
      <c r="M37" s="3"/>
      <c r="N37" s="3"/>
      <c r="O37" s="3" t="s">
        <v>124</v>
      </c>
      <c r="P37" s="3"/>
      <c r="Q37" s="3"/>
      <c r="R37" s="3"/>
    </row>
    <row r="38" spans="1:18" ht="45" x14ac:dyDescent="0.25">
      <c r="A38" s="3">
        <v>37</v>
      </c>
      <c r="B38" s="3">
        <v>3</v>
      </c>
      <c r="C38" s="3" t="s">
        <v>102</v>
      </c>
      <c r="D38" s="3" t="s">
        <v>103</v>
      </c>
      <c r="E38" s="3" t="s">
        <v>20</v>
      </c>
      <c r="F38" s="3" t="s">
        <v>126</v>
      </c>
      <c r="G38" s="2" t="str">
        <f>IFERROR(VLOOKUP(E38,Catálogo!A:B,2,FALSE),"")</f>
        <v>Definir el DDL de las tablas propias del servicio en un script SQL versionado. Cada tabla es propiedad exclusiva del servicio.</v>
      </c>
      <c r="H38" s="2"/>
      <c r="I38" s="3"/>
      <c r="J38" s="3" t="s">
        <v>23</v>
      </c>
      <c r="K38" s="3" t="s">
        <v>23</v>
      </c>
      <c r="L38" s="3" t="s">
        <v>75</v>
      </c>
      <c r="M38" s="3"/>
      <c r="N38" s="3"/>
      <c r="O38" s="3" t="s">
        <v>127</v>
      </c>
      <c r="P38" s="3"/>
      <c r="Q38" s="3"/>
      <c r="R38" s="3"/>
    </row>
    <row r="39" spans="1:18" ht="45" x14ac:dyDescent="0.25">
      <c r="A39" s="3">
        <v>38</v>
      </c>
      <c r="B39" s="3">
        <v>3</v>
      </c>
      <c r="C39" s="3" t="s">
        <v>102</v>
      </c>
      <c r="D39" s="3" t="s">
        <v>103</v>
      </c>
      <c r="E39" s="3" t="s">
        <v>29</v>
      </c>
      <c r="F39" s="3" t="s">
        <v>128</v>
      </c>
      <c r="G39" s="2" t="str">
        <f>IFERROR(VLOOKUP(E39,Catálogo!A:B,2,FALSE),"")</f>
        <v>Actualizar application.yml / .env del servicio para apuntar a su propia base de datos (SUPABASE_URL, SUPABASE_SERVICE_ROLE_KEY propios).</v>
      </c>
      <c r="H39" s="2"/>
      <c r="I39" s="3"/>
      <c r="J39" s="3" t="s">
        <v>98</v>
      </c>
      <c r="K39" s="3" t="s">
        <v>23</v>
      </c>
      <c r="L39" s="3" t="s">
        <v>75</v>
      </c>
      <c r="M39" s="3"/>
      <c r="N39" s="3"/>
      <c r="O39" s="3" t="s">
        <v>129</v>
      </c>
      <c r="P39" s="3"/>
      <c r="Q39" s="3"/>
      <c r="R39" s="3"/>
    </row>
    <row r="40" spans="1:18" ht="30" x14ac:dyDescent="0.25">
      <c r="A40" s="3">
        <v>39</v>
      </c>
      <c r="B40" s="3">
        <v>3</v>
      </c>
      <c r="C40" s="3" t="s">
        <v>102</v>
      </c>
      <c r="D40" s="3" t="s">
        <v>103</v>
      </c>
      <c r="E40" s="3" t="s">
        <v>25</v>
      </c>
      <c r="F40" s="3" t="s">
        <v>130</v>
      </c>
      <c r="G40" s="2" t="str">
        <f>IFERROR(VLOOKUP(E40,Catálogo!A:B,2,FALSE),"")</f>
        <v>Generar script que popula la BD del servicio con datos demo realistas para desarrollo y tests.</v>
      </c>
      <c r="H40" s="2"/>
      <c r="I40" s="3"/>
      <c r="J40" s="3" t="s">
        <v>98</v>
      </c>
      <c r="K40" s="3" t="s">
        <v>23</v>
      </c>
      <c r="L40" s="3" t="s">
        <v>75</v>
      </c>
      <c r="M40" s="3"/>
      <c r="N40" s="3"/>
      <c r="O40" s="3" t="s">
        <v>131</v>
      </c>
      <c r="P40" s="3"/>
      <c r="Q40" s="3"/>
      <c r="R40" s="3"/>
    </row>
    <row r="41" spans="1:18" ht="45" x14ac:dyDescent="0.25">
      <c r="A41" s="3">
        <v>40</v>
      </c>
      <c r="B41" s="3">
        <v>1</v>
      </c>
      <c r="C41" s="3" t="s">
        <v>132</v>
      </c>
      <c r="D41" s="3" t="s">
        <v>133</v>
      </c>
      <c r="E41" s="3" t="s">
        <v>6</v>
      </c>
      <c r="F41" s="3" t="s">
        <v>134</v>
      </c>
      <c r="G41" s="2" t="str">
        <f>IFERROR(VLOOKUP(E41,Catálogo!A:B,2,FALSE),"")</f>
        <v>Implementar endpoint HTTP bajo /api/internal/** que retorna datos en formato JSON según contrato definido en el plan (sección 9).</v>
      </c>
      <c r="H41" s="2"/>
      <c r="I41" s="3"/>
      <c r="J41" s="3" t="s">
        <v>23</v>
      </c>
      <c r="K41" s="3" t="s">
        <v>49</v>
      </c>
      <c r="L41" s="3" t="s">
        <v>75</v>
      </c>
      <c r="M41" s="3"/>
      <c r="N41" s="3"/>
      <c r="O41" s="3" t="s">
        <v>135</v>
      </c>
      <c r="P41" s="3"/>
      <c r="Q41" s="3"/>
      <c r="R41" s="3"/>
    </row>
    <row r="42" spans="1:18" ht="60" x14ac:dyDescent="0.25">
      <c r="A42" s="3">
        <v>41</v>
      </c>
      <c r="B42" s="3">
        <v>1</v>
      </c>
      <c r="C42" s="3" t="s">
        <v>132</v>
      </c>
      <c r="D42" s="3" t="s">
        <v>133</v>
      </c>
      <c r="E42" s="3" t="s">
        <v>37</v>
      </c>
      <c r="F42" s="3" t="s">
        <v>136</v>
      </c>
      <c r="G42" s="2" t="str">
        <f>IFERROR(VLOOKUP(E42,Catálogo!A:B,2,FALSE),"")</f>
        <v>Implementar filtro HTTP que valida el header X-Internal-Api-Key en todos los endpoints bajo /api/internal/**. Si el header no coincide, responde 403.</v>
      </c>
      <c r="H42" s="2"/>
      <c r="I42" s="3"/>
      <c r="J42" s="3" t="s">
        <v>23</v>
      </c>
      <c r="K42" s="3" t="s">
        <v>79</v>
      </c>
      <c r="L42" s="3" t="s">
        <v>75</v>
      </c>
      <c r="M42" s="3"/>
      <c r="N42" s="3"/>
      <c r="O42" s="3" t="s">
        <v>137</v>
      </c>
      <c r="P42" s="3"/>
      <c r="Q42" s="3"/>
      <c r="R42" s="3"/>
    </row>
    <row r="43" spans="1:18" ht="30" x14ac:dyDescent="0.25">
      <c r="A43" s="3">
        <v>42</v>
      </c>
      <c r="B43" s="3">
        <v>1</v>
      </c>
      <c r="C43" s="3" t="s">
        <v>132</v>
      </c>
      <c r="D43" s="3" t="s">
        <v>133</v>
      </c>
      <c r="E43" s="3" t="s">
        <v>49</v>
      </c>
      <c r="F43" s="3" t="s">
        <v>138</v>
      </c>
      <c r="G43" s="2" t="str">
        <f>IFERROR(VLOOKUP(E43,Catálogo!A:B,2,FALSE),"")</f>
        <v>Test que valida un endpoint interno propio: request, respuesta esperada, status code. Usa MockMvc.</v>
      </c>
      <c r="H43" s="2"/>
      <c r="I43" s="3"/>
      <c r="J43" s="3" t="s">
        <v>23</v>
      </c>
      <c r="K43" s="3" t="s">
        <v>23</v>
      </c>
      <c r="L43" s="3" t="s">
        <v>75</v>
      </c>
      <c r="M43" s="3"/>
      <c r="N43" s="3"/>
      <c r="O43" s="3" t="s">
        <v>139</v>
      </c>
      <c r="P43" s="3"/>
      <c r="Q43" s="3"/>
      <c r="R43" s="3"/>
    </row>
    <row r="44" spans="1:18" ht="30" x14ac:dyDescent="0.25">
      <c r="A44" s="3">
        <v>43</v>
      </c>
      <c r="B44" s="3">
        <v>1</v>
      </c>
      <c r="C44" s="3" t="s">
        <v>132</v>
      </c>
      <c r="D44" s="3" t="s">
        <v>133</v>
      </c>
      <c r="E44" s="3" t="s">
        <v>49</v>
      </c>
      <c r="F44" s="3" t="s">
        <v>140</v>
      </c>
      <c r="G44" s="2" t="str">
        <f>IFERROR(VLOOKUP(E44,Catálogo!A:B,2,FALSE),"")</f>
        <v>Test que valida un endpoint interno propio: request, respuesta esperada, status code. Usa MockMvc.</v>
      </c>
      <c r="H44" s="2"/>
      <c r="I44" s="3"/>
      <c r="J44" s="3" t="s">
        <v>23</v>
      </c>
      <c r="K44" s="3" t="s">
        <v>23</v>
      </c>
      <c r="L44" s="3" t="s">
        <v>75</v>
      </c>
      <c r="M44" s="3"/>
      <c r="N44" s="3"/>
      <c r="O44" s="3" t="s">
        <v>139</v>
      </c>
      <c r="P44" s="3"/>
      <c r="Q44" s="3"/>
      <c r="R44" s="3"/>
    </row>
    <row r="45" spans="1:18" ht="60" x14ac:dyDescent="0.25">
      <c r="A45" s="3">
        <v>44</v>
      </c>
      <c r="B45" s="3">
        <v>2</v>
      </c>
      <c r="C45" s="3" t="s">
        <v>132</v>
      </c>
      <c r="D45" s="3" t="s">
        <v>133</v>
      </c>
      <c r="E45" s="3" t="s">
        <v>15</v>
      </c>
      <c r="F45" s="3" t="s">
        <v>141</v>
      </c>
      <c r="G45" s="2" t="str">
        <f>IFERROR(VLOOKUP(E45,Catálogo!A:B,2,FALSE),"")</f>
        <v>Cambiar la implementación de un port (interface hexagonal) que hoy consulta Supabase REST directo, por un HTTP client que llama al endpoint interno del servicio dueño. La firma del port NO cambia.</v>
      </c>
      <c r="H45" s="2"/>
      <c r="I45" s="3"/>
      <c r="J45" s="3" t="s">
        <v>142</v>
      </c>
      <c r="K45" s="3" t="s">
        <v>46</v>
      </c>
      <c r="L45" s="3" t="s">
        <v>75</v>
      </c>
      <c r="M45" s="3"/>
      <c r="N45" s="3"/>
      <c r="O45" s="3" t="s">
        <v>143</v>
      </c>
      <c r="P45" s="3"/>
      <c r="Q45" s="3"/>
      <c r="R45" s="3"/>
    </row>
    <row r="46" spans="1:18" ht="60" x14ac:dyDescent="0.25">
      <c r="A46" s="3">
        <v>45</v>
      </c>
      <c r="B46" s="3">
        <v>2</v>
      </c>
      <c r="C46" s="3" t="s">
        <v>132</v>
      </c>
      <c r="D46" s="3" t="s">
        <v>133</v>
      </c>
      <c r="E46" s="3" t="s">
        <v>15</v>
      </c>
      <c r="F46" s="3" t="s">
        <v>144</v>
      </c>
      <c r="G46" s="2" t="str">
        <f>IFERROR(VLOOKUP(E46,Catálogo!A:B,2,FALSE),"")</f>
        <v>Cambiar la implementación de un port (interface hexagonal) que hoy consulta Supabase REST directo, por un HTTP client que llama al endpoint interno del servicio dueño. La firma del port NO cambia.</v>
      </c>
      <c r="H46" s="2"/>
      <c r="I46" s="3"/>
      <c r="J46" s="3" t="s">
        <v>145</v>
      </c>
      <c r="K46" s="3" t="s">
        <v>46</v>
      </c>
      <c r="L46" s="3" t="s">
        <v>75</v>
      </c>
      <c r="M46" s="3"/>
      <c r="N46" s="3"/>
      <c r="O46" s="3" t="s">
        <v>143</v>
      </c>
      <c r="P46" s="3"/>
      <c r="Q46" s="3"/>
      <c r="R46" s="3"/>
    </row>
    <row r="47" spans="1:18" ht="60" x14ac:dyDescent="0.25">
      <c r="A47" s="3">
        <v>46</v>
      </c>
      <c r="B47" s="3">
        <v>2</v>
      </c>
      <c r="C47" s="3" t="s">
        <v>132</v>
      </c>
      <c r="D47" s="3" t="s">
        <v>133</v>
      </c>
      <c r="E47" s="3" t="s">
        <v>15</v>
      </c>
      <c r="F47" s="3" t="s">
        <v>146</v>
      </c>
      <c r="G47" s="2" t="str">
        <f>IFERROR(VLOOKUP(E47,Catálogo!A:B,2,FALSE),"")</f>
        <v>Cambiar la implementación de un port (interface hexagonal) que hoy consulta Supabase REST directo, por un HTTP client que llama al endpoint interno del servicio dueño. La firma del port NO cambia.</v>
      </c>
      <c r="H47" s="2"/>
      <c r="I47" s="3"/>
      <c r="J47" s="3" t="s">
        <v>147</v>
      </c>
      <c r="K47" s="3" t="s">
        <v>46</v>
      </c>
      <c r="L47" s="3" t="s">
        <v>75</v>
      </c>
      <c r="M47" s="3"/>
      <c r="N47" s="3"/>
      <c r="O47" s="3" t="s">
        <v>143</v>
      </c>
      <c r="P47" s="3"/>
      <c r="Q47" s="3"/>
      <c r="R47" s="3"/>
    </row>
    <row r="48" spans="1:18" ht="60" x14ac:dyDescent="0.25">
      <c r="A48" s="3">
        <v>47</v>
      </c>
      <c r="B48" s="3">
        <v>2</v>
      </c>
      <c r="C48" s="3" t="s">
        <v>132</v>
      </c>
      <c r="D48" s="3" t="s">
        <v>133</v>
      </c>
      <c r="E48" s="3" t="s">
        <v>15</v>
      </c>
      <c r="F48" s="3" t="s">
        <v>148</v>
      </c>
      <c r="G48" s="2" t="str">
        <f>IFERROR(VLOOKUP(E48,Catálogo!A:B,2,FALSE),"")</f>
        <v>Cambiar la implementación de un port (interface hexagonal) que hoy consulta Supabase REST directo, por un HTTP client que llama al endpoint interno del servicio dueño. La firma del port NO cambia.</v>
      </c>
      <c r="H48" s="2"/>
      <c r="I48" s="3"/>
      <c r="J48" s="3" t="s">
        <v>147</v>
      </c>
      <c r="K48" s="3" t="s">
        <v>46</v>
      </c>
      <c r="L48" s="3" t="s">
        <v>75</v>
      </c>
      <c r="M48" s="3"/>
      <c r="N48" s="3"/>
      <c r="O48" s="3" t="s">
        <v>143</v>
      </c>
      <c r="P48" s="3"/>
      <c r="Q48" s="3"/>
      <c r="R48" s="3"/>
    </row>
    <row r="49" spans="1:18" ht="60" x14ac:dyDescent="0.25">
      <c r="A49" s="3">
        <v>48</v>
      </c>
      <c r="B49" s="3">
        <v>2</v>
      </c>
      <c r="C49" s="3" t="s">
        <v>132</v>
      </c>
      <c r="D49" s="3" t="s">
        <v>133</v>
      </c>
      <c r="E49" s="3" t="s">
        <v>33</v>
      </c>
      <c r="F49" s="3" t="s">
        <v>149</v>
      </c>
      <c r="G49" s="2" t="str">
        <f>IFERROR(VLOOKUP(E49,Catálogo!A:B,2,FALSE),"")</f>
        <v>Definir variables de entorno con las URLs de los servicios que este servicio consume (AUTH_SERVICE_URL, CATALOG_SERVICE_URL, etc.) en application.yml.</v>
      </c>
      <c r="H49" s="2"/>
      <c r="I49" s="3"/>
      <c r="J49" s="3" t="s">
        <v>23</v>
      </c>
      <c r="K49" s="3" t="s">
        <v>23</v>
      </c>
      <c r="L49" s="3" t="s">
        <v>75</v>
      </c>
      <c r="M49" s="3"/>
      <c r="N49" s="3"/>
      <c r="O49" s="3" t="s">
        <v>150</v>
      </c>
      <c r="P49" s="3"/>
      <c r="Q49" s="3"/>
      <c r="R49" s="3"/>
    </row>
    <row r="50" spans="1:18" ht="45" x14ac:dyDescent="0.25">
      <c r="A50" s="3">
        <v>49</v>
      </c>
      <c r="B50" s="3">
        <v>2</v>
      </c>
      <c r="C50" s="3" t="s">
        <v>132</v>
      </c>
      <c r="D50" s="3" t="s">
        <v>133</v>
      </c>
      <c r="E50" s="3" t="s">
        <v>42</v>
      </c>
      <c r="F50" s="3" t="s">
        <v>151</v>
      </c>
      <c r="G50" s="2" t="str">
        <f>IFERROR(VLOOKUP(E50,Catálogo!A:B,2,FALSE),"")</f>
        <v>Test que cubre la lógica de un use case o entidad de dominio sin tocar infraestructura (sin Spring, sin BD, sin HTTP).</v>
      </c>
      <c r="H50" s="2"/>
      <c r="I50" s="3"/>
      <c r="J50" s="3" t="s">
        <v>23</v>
      </c>
      <c r="K50" s="3" t="s">
        <v>23</v>
      </c>
      <c r="L50" s="3" t="s">
        <v>75</v>
      </c>
      <c r="M50" s="3"/>
      <c r="N50" s="3"/>
      <c r="O50" s="3" t="s">
        <v>152</v>
      </c>
      <c r="P50" s="3"/>
      <c r="Q50" s="3"/>
      <c r="R50" s="3"/>
    </row>
    <row r="51" spans="1:18" ht="45" x14ac:dyDescent="0.25">
      <c r="A51" s="3">
        <v>50</v>
      </c>
      <c r="B51" s="3">
        <v>2</v>
      </c>
      <c r="C51" s="3" t="s">
        <v>132</v>
      </c>
      <c r="D51" s="3" t="s">
        <v>133</v>
      </c>
      <c r="E51" s="3" t="s">
        <v>42</v>
      </c>
      <c r="F51" s="3" t="s">
        <v>153</v>
      </c>
      <c r="G51" s="2" t="str">
        <f>IFERROR(VLOOKUP(E51,Catálogo!A:B,2,FALSE),"")</f>
        <v>Test que cubre la lógica de un use case o entidad de dominio sin tocar infraestructura (sin Spring, sin BD, sin HTTP).</v>
      </c>
      <c r="H51" s="2"/>
      <c r="I51" s="3"/>
      <c r="J51" s="3" t="s">
        <v>23</v>
      </c>
      <c r="K51" s="3" t="s">
        <v>23</v>
      </c>
      <c r="L51" s="3" t="s">
        <v>75</v>
      </c>
      <c r="M51" s="3"/>
      <c r="N51" s="3"/>
      <c r="O51" s="3" t="s">
        <v>152</v>
      </c>
      <c r="P51" s="3"/>
      <c r="Q51" s="3"/>
      <c r="R51" s="3"/>
    </row>
    <row r="52" spans="1:18" ht="45" x14ac:dyDescent="0.25">
      <c r="A52" s="3">
        <v>51</v>
      </c>
      <c r="B52" s="3">
        <v>2</v>
      </c>
      <c r="C52" s="3" t="s">
        <v>132</v>
      </c>
      <c r="D52" s="3" t="s">
        <v>133</v>
      </c>
      <c r="E52" s="3" t="s">
        <v>42</v>
      </c>
      <c r="F52" s="3" t="s">
        <v>154</v>
      </c>
      <c r="G52" s="2" t="str">
        <f>IFERROR(VLOOKUP(E52,Catálogo!A:B,2,FALSE),"")</f>
        <v>Test que cubre la lógica de un use case o entidad de dominio sin tocar infraestructura (sin Spring, sin BD, sin HTTP).</v>
      </c>
      <c r="H52" s="2"/>
      <c r="I52" s="3"/>
      <c r="J52" s="3" t="s">
        <v>23</v>
      </c>
      <c r="K52" s="3" t="s">
        <v>23</v>
      </c>
      <c r="L52" s="3" t="s">
        <v>75</v>
      </c>
      <c r="M52" s="3"/>
      <c r="N52" s="3"/>
      <c r="O52" s="3" t="s">
        <v>152</v>
      </c>
      <c r="P52" s="3"/>
      <c r="Q52" s="3"/>
      <c r="R52" s="3"/>
    </row>
    <row r="53" spans="1:18" ht="45" x14ac:dyDescent="0.25">
      <c r="A53" s="3">
        <v>52</v>
      </c>
      <c r="B53" s="3">
        <v>2</v>
      </c>
      <c r="C53" s="3" t="s">
        <v>132</v>
      </c>
      <c r="D53" s="3" t="s">
        <v>133</v>
      </c>
      <c r="E53" s="3" t="s">
        <v>42</v>
      </c>
      <c r="F53" s="3" t="s">
        <v>155</v>
      </c>
      <c r="G53" s="2" t="str">
        <f>IFERROR(VLOOKUP(E53,Catálogo!A:B,2,FALSE),"")</f>
        <v>Test que cubre la lógica de un use case o entidad de dominio sin tocar infraestructura (sin Spring, sin BD, sin HTTP).</v>
      </c>
      <c r="H53" s="2"/>
      <c r="I53" s="3"/>
      <c r="J53" s="3" t="s">
        <v>23</v>
      </c>
      <c r="K53" s="3" t="s">
        <v>23</v>
      </c>
      <c r="L53" s="3" t="s">
        <v>75</v>
      </c>
      <c r="M53" s="3"/>
      <c r="N53" s="3"/>
      <c r="O53" s="3" t="s">
        <v>152</v>
      </c>
      <c r="P53" s="3"/>
      <c r="Q53" s="3"/>
      <c r="R53" s="3"/>
    </row>
    <row r="54" spans="1:18" ht="45" x14ac:dyDescent="0.25">
      <c r="A54" s="3">
        <v>53</v>
      </c>
      <c r="B54" s="3">
        <v>2</v>
      </c>
      <c r="C54" s="3" t="s">
        <v>132</v>
      </c>
      <c r="D54" s="3" t="s">
        <v>133</v>
      </c>
      <c r="E54" s="3" t="s">
        <v>42</v>
      </c>
      <c r="F54" s="3" t="s">
        <v>156</v>
      </c>
      <c r="G54" s="2" t="str">
        <f>IFERROR(VLOOKUP(E54,Catálogo!A:B,2,FALSE),"")</f>
        <v>Test que cubre la lógica de un use case o entidad de dominio sin tocar infraestructura (sin Spring, sin BD, sin HTTP).</v>
      </c>
      <c r="H54" s="2"/>
      <c r="I54" s="3"/>
      <c r="J54" s="3" t="s">
        <v>23</v>
      </c>
      <c r="K54" s="3" t="s">
        <v>23</v>
      </c>
      <c r="L54" s="3" t="s">
        <v>75</v>
      </c>
      <c r="M54" s="3"/>
      <c r="N54" s="3"/>
      <c r="O54" s="3" t="s">
        <v>152</v>
      </c>
      <c r="P54" s="3"/>
      <c r="Q54" s="3"/>
      <c r="R54" s="3"/>
    </row>
    <row r="55" spans="1:18" ht="45" x14ac:dyDescent="0.25">
      <c r="A55" s="3">
        <v>54</v>
      </c>
      <c r="B55" s="3">
        <v>2</v>
      </c>
      <c r="C55" s="3" t="s">
        <v>132</v>
      </c>
      <c r="D55" s="3" t="s">
        <v>133</v>
      </c>
      <c r="E55" s="3" t="s">
        <v>42</v>
      </c>
      <c r="F55" s="3" t="s">
        <v>157</v>
      </c>
      <c r="G55" s="2" t="str">
        <f>IFERROR(VLOOKUP(E55,Catálogo!A:B,2,FALSE),"")</f>
        <v>Test que cubre la lógica de un use case o entidad de dominio sin tocar infraestructura (sin Spring, sin BD, sin HTTP).</v>
      </c>
      <c r="H55" s="2"/>
      <c r="I55" s="3"/>
      <c r="J55" s="3" t="s">
        <v>23</v>
      </c>
      <c r="K55" s="3" t="s">
        <v>23</v>
      </c>
      <c r="L55" s="3" t="s">
        <v>75</v>
      </c>
      <c r="M55" s="3"/>
      <c r="N55" s="3"/>
      <c r="O55" s="3" t="s">
        <v>152</v>
      </c>
      <c r="P55" s="3"/>
      <c r="Q55" s="3"/>
      <c r="R55" s="3"/>
    </row>
    <row r="56" spans="1:18" ht="60" x14ac:dyDescent="0.25">
      <c r="A56" s="3">
        <v>55</v>
      </c>
      <c r="B56" s="3">
        <v>2</v>
      </c>
      <c r="C56" s="3" t="s">
        <v>132</v>
      </c>
      <c r="D56" s="3" t="s">
        <v>133</v>
      </c>
      <c r="E56" s="3" t="s">
        <v>46</v>
      </c>
      <c r="F56" s="3" t="s">
        <v>158</v>
      </c>
      <c r="G56" s="2" t="str">
        <f>IFERROR(VLOOKUP(E56,Catálogo!A:B,2,FALSE),"")</f>
        <v>Test que valida que un HTTP client (hacia otro servicio) envía el request correcto, parsea la respuesta, y maneja errores del servicio dependiente (caído, timeout, 404).</v>
      </c>
      <c r="H56" s="2"/>
      <c r="I56" s="3"/>
      <c r="J56" s="3" t="s">
        <v>159</v>
      </c>
      <c r="K56" s="3" t="s">
        <v>23</v>
      </c>
      <c r="L56" s="3" t="s">
        <v>75</v>
      </c>
      <c r="M56" s="3"/>
      <c r="N56" s="3"/>
      <c r="O56" s="3" t="s">
        <v>152</v>
      </c>
      <c r="P56" s="3"/>
      <c r="Q56" s="3"/>
      <c r="R56" s="3"/>
    </row>
    <row r="57" spans="1:18" ht="60" x14ac:dyDescent="0.25">
      <c r="A57" s="3">
        <v>56</v>
      </c>
      <c r="B57" s="3">
        <v>2</v>
      </c>
      <c r="C57" s="3" t="s">
        <v>132</v>
      </c>
      <c r="D57" s="3" t="s">
        <v>133</v>
      </c>
      <c r="E57" s="3" t="s">
        <v>46</v>
      </c>
      <c r="F57" s="3" t="s">
        <v>160</v>
      </c>
      <c r="G57" s="2" t="str">
        <f>IFERROR(VLOOKUP(E57,Catálogo!A:B,2,FALSE),"")</f>
        <v>Test que valida que un HTTP client (hacia otro servicio) envía el request correcto, parsea la respuesta, y maneja errores del servicio dependiente (caído, timeout, 404).</v>
      </c>
      <c r="H57" s="2"/>
      <c r="I57" s="3"/>
      <c r="J57" s="3" t="s">
        <v>159</v>
      </c>
      <c r="K57" s="3" t="s">
        <v>23</v>
      </c>
      <c r="L57" s="3" t="s">
        <v>75</v>
      </c>
      <c r="M57" s="3"/>
      <c r="N57" s="3"/>
      <c r="O57" s="3" t="s">
        <v>152</v>
      </c>
      <c r="P57" s="3"/>
      <c r="Q57" s="3"/>
      <c r="R57" s="3"/>
    </row>
    <row r="58" spans="1:18" ht="60" x14ac:dyDescent="0.25">
      <c r="A58" s="3">
        <v>57</v>
      </c>
      <c r="B58" s="3">
        <v>2</v>
      </c>
      <c r="C58" s="3" t="s">
        <v>132</v>
      </c>
      <c r="D58" s="3" t="s">
        <v>133</v>
      </c>
      <c r="E58" s="3" t="s">
        <v>46</v>
      </c>
      <c r="F58" s="3" t="s">
        <v>161</v>
      </c>
      <c r="G58" s="2" t="str">
        <f>IFERROR(VLOOKUP(E58,Catálogo!A:B,2,FALSE),"")</f>
        <v>Test que valida que un HTTP client (hacia otro servicio) envía el request correcto, parsea la respuesta, y maneja errores del servicio dependiente (caído, timeout, 404).</v>
      </c>
      <c r="H58" s="2"/>
      <c r="I58" s="3"/>
      <c r="J58" s="3" t="s">
        <v>159</v>
      </c>
      <c r="K58" s="3" t="s">
        <v>23</v>
      </c>
      <c r="L58" s="3" t="s">
        <v>75</v>
      </c>
      <c r="M58" s="3"/>
      <c r="N58" s="3"/>
      <c r="O58" s="3" t="s">
        <v>152</v>
      </c>
      <c r="P58" s="3"/>
      <c r="Q58" s="3"/>
      <c r="R58" s="3"/>
    </row>
    <row r="59" spans="1:18" ht="60" x14ac:dyDescent="0.25">
      <c r="A59" s="3">
        <v>58</v>
      </c>
      <c r="B59" s="3">
        <v>2</v>
      </c>
      <c r="C59" s="3" t="s">
        <v>132</v>
      </c>
      <c r="D59" s="3" t="s">
        <v>133</v>
      </c>
      <c r="E59" s="3" t="s">
        <v>46</v>
      </c>
      <c r="F59" s="3" t="s">
        <v>162</v>
      </c>
      <c r="G59" s="2" t="str">
        <f>IFERROR(VLOOKUP(E59,Catálogo!A:B,2,FALSE),"")</f>
        <v>Test que valida que un HTTP client (hacia otro servicio) envía el request correcto, parsea la respuesta, y maneja errores del servicio dependiente (caído, timeout, 404).</v>
      </c>
      <c r="H59" s="2"/>
      <c r="I59" s="3"/>
      <c r="J59" s="3" t="s">
        <v>159</v>
      </c>
      <c r="K59" s="3" t="s">
        <v>23</v>
      </c>
      <c r="L59" s="3" t="s">
        <v>75</v>
      </c>
      <c r="M59" s="3"/>
      <c r="N59" s="3"/>
      <c r="O59" s="3" t="s">
        <v>152</v>
      </c>
      <c r="P59" s="3"/>
      <c r="Q59" s="3"/>
      <c r="R59" s="3"/>
    </row>
    <row r="60" spans="1:18" ht="60" x14ac:dyDescent="0.25">
      <c r="A60" s="3">
        <v>59</v>
      </c>
      <c r="B60" s="3">
        <v>2</v>
      </c>
      <c r="C60" s="3" t="s">
        <v>132</v>
      </c>
      <c r="D60" s="3" t="s">
        <v>133</v>
      </c>
      <c r="E60" s="3" t="s">
        <v>46</v>
      </c>
      <c r="F60" s="3" t="s">
        <v>163</v>
      </c>
      <c r="G60" s="2" t="str">
        <f>IFERROR(VLOOKUP(E60,Catálogo!A:B,2,FALSE),"")</f>
        <v>Test que valida que un HTTP client (hacia otro servicio) envía el request correcto, parsea la respuesta, y maneja errores del servicio dependiente (caído, timeout, 404).</v>
      </c>
      <c r="H60" s="2"/>
      <c r="I60" s="3"/>
      <c r="J60" s="3" t="s">
        <v>159</v>
      </c>
      <c r="K60" s="3" t="s">
        <v>23</v>
      </c>
      <c r="L60" s="3" t="s">
        <v>75</v>
      </c>
      <c r="M60" s="3"/>
      <c r="N60" s="3"/>
      <c r="O60" s="3" t="s">
        <v>152</v>
      </c>
      <c r="P60" s="3"/>
      <c r="Q60" s="3"/>
      <c r="R60" s="3"/>
    </row>
    <row r="61" spans="1:18" ht="60" x14ac:dyDescent="0.25">
      <c r="A61" s="3">
        <v>60</v>
      </c>
      <c r="B61" s="3">
        <v>2</v>
      </c>
      <c r="C61" s="3" t="s">
        <v>132</v>
      </c>
      <c r="D61" s="3" t="s">
        <v>133</v>
      </c>
      <c r="E61" s="3" t="s">
        <v>46</v>
      </c>
      <c r="F61" s="3" t="s">
        <v>164</v>
      </c>
      <c r="G61" s="2" t="str">
        <f>IFERROR(VLOOKUP(E61,Catálogo!A:B,2,FALSE),"")</f>
        <v>Test que valida que un HTTP client (hacia otro servicio) envía el request correcto, parsea la respuesta, y maneja errores del servicio dependiente (caído, timeout, 404).</v>
      </c>
      <c r="H61" s="2"/>
      <c r="I61" s="3"/>
      <c r="J61" s="3" t="s">
        <v>159</v>
      </c>
      <c r="K61" s="3" t="s">
        <v>23</v>
      </c>
      <c r="L61" s="3" t="s">
        <v>75</v>
      </c>
      <c r="M61" s="3"/>
      <c r="N61" s="3"/>
      <c r="O61" s="3" t="s">
        <v>152</v>
      </c>
      <c r="P61" s="3"/>
      <c r="Q61" s="3"/>
      <c r="R61" s="3"/>
    </row>
    <row r="62" spans="1:18" ht="45" x14ac:dyDescent="0.25">
      <c r="A62" s="3">
        <v>61</v>
      </c>
      <c r="B62" s="3">
        <v>3</v>
      </c>
      <c r="C62" s="3" t="s">
        <v>132</v>
      </c>
      <c r="D62" s="3" t="s">
        <v>133</v>
      </c>
      <c r="E62" s="3" t="s">
        <v>20</v>
      </c>
      <c r="F62" s="3" t="s">
        <v>165</v>
      </c>
      <c r="G62" s="2" t="str">
        <f>IFERROR(VLOOKUP(E62,Catálogo!A:B,2,FALSE),"")</f>
        <v>Definir el DDL de las tablas propias del servicio en un script SQL versionado. Cada tabla es propiedad exclusiva del servicio.</v>
      </c>
      <c r="H62" s="2"/>
      <c r="I62" s="3"/>
      <c r="J62" s="3" t="s">
        <v>23</v>
      </c>
      <c r="K62" s="3" t="s">
        <v>23</v>
      </c>
      <c r="L62" s="3" t="s">
        <v>75</v>
      </c>
      <c r="M62" s="3"/>
      <c r="N62" s="3"/>
      <c r="O62" s="3" t="s">
        <v>166</v>
      </c>
      <c r="P62" s="3"/>
      <c r="Q62" s="3"/>
      <c r="R62" s="3"/>
    </row>
    <row r="63" spans="1:18" ht="45" x14ac:dyDescent="0.25">
      <c r="A63" s="3">
        <v>62</v>
      </c>
      <c r="B63" s="3">
        <v>3</v>
      </c>
      <c r="C63" s="3" t="s">
        <v>132</v>
      </c>
      <c r="D63" s="3" t="s">
        <v>133</v>
      </c>
      <c r="E63" s="3" t="s">
        <v>29</v>
      </c>
      <c r="F63" s="3" t="s">
        <v>167</v>
      </c>
      <c r="G63" s="2" t="str">
        <f>IFERROR(VLOOKUP(E63,Catálogo!A:B,2,FALSE),"")</f>
        <v>Actualizar application.yml / .env del servicio para apuntar a su propia base de datos (SUPABASE_URL, SUPABASE_SERVICE_ROLE_KEY propios).</v>
      </c>
      <c r="H63" s="2"/>
      <c r="I63" s="3"/>
      <c r="J63" s="3" t="s">
        <v>98</v>
      </c>
      <c r="K63" s="3" t="s">
        <v>23</v>
      </c>
      <c r="L63" s="3" t="s">
        <v>75</v>
      </c>
      <c r="M63" s="3"/>
      <c r="N63" s="3"/>
      <c r="O63" s="3" t="s">
        <v>168</v>
      </c>
      <c r="P63" s="3"/>
      <c r="Q63" s="3"/>
      <c r="R63" s="3"/>
    </row>
    <row r="64" spans="1:18" ht="30" x14ac:dyDescent="0.25">
      <c r="A64" s="3">
        <v>63</v>
      </c>
      <c r="B64" s="3">
        <v>3</v>
      </c>
      <c r="C64" s="3" t="s">
        <v>132</v>
      </c>
      <c r="D64" s="3" t="s">
        <v>133</v>
      </c>
      <c r="E64" s="3" t="s">
        <v>25</v>
      </c>
      <c r="F64" s="3" t="s">
        <v>169</v>
      </c>
      <c r="G64" s="2" t="str">
        <f>IFERROR(VLOOKUP(E64,Catálogo!A:B,2,FALSE),"")</f>
        <v>Generar script que popula la BD del servicio con datos demo realistas para desarrollo y tests.</v>
      </c>
      <c r="H64" s="2"/>
      <c r="I64" s="3"/>
      <c r="J64" s="3" t="s">
        <v>98</v>
      </c>
      <c r="K64" s="3" t="s">
        <v>23</v>
      </c>
      <c r="L64" s="3" t="s">
        <v>75</v>
      </c>
      <c r="M64" s="3"/>
      <c r="N64" s="3"/>
      <c r="O64" s="3" t="s">
        <v>170</v>
      </c>
      <c r="P64" s="3"/>
      <c r="Q64" s="3"/>
      <c r="R64" s="3"/>
    </row>
    <row r="65" spans="1:18" ht="45" x14ac:dyDescent="0.25">
      <c r="A65" s="3">
        <v>64</v>
      </c>
      <c r="B65" s="3">
        <v>1</v>
      </c>
      <c r="C65" s="3" t="s">
        <v>171</v>
      </c>
      <c r="D65" s="3" t="s">
        <v>172</v>
      </c>
      <c r="E65" s="3" t="s">
        <v>6</v>
      </c>
      <c r="F65" s="3" t="s">
        <v>173</v>
      </c>
      <c r="G65" s="2" t="str">
        <f>IFERROR(VLOOKUP(E65,Catálogo!A:B,2,FALSE),"")</f>
        <v>Implementar endpoint HTTP bajo /api/internal/** que retorna datos en formato JSON según contrato definido en el plan (sección 9).</v>
      </c>
      <c r="H65" s="2"/>
      <c r="I65" s="3"/>
      <c r="J65" s="3" t="s">
        <v>23</v>
      </c>
      <c r="K65" s="3" t="s">
        <v>49</v>
      </c>
      <c r="L65" s="3" t="s">
        <v>75</v>
      </c>
      <c r="M65" s="3"/>
      <c r="N65" s="3"/>
      <c r="O65" s="3" t="s">
        <v>174</v>
      </c>
      <c r="P65" s="3"/>
      <c r="Q65" s="3"/>
      <c r="R65" s="3"/>
    </row>
    <row r="66" spans="1:18" ht="45" x14ac:dyDescent="0.25">
      <c r="A66" s="3">
        <v>65</v>
      </c>
      <c r="B66" s="3">
        <v>1</v>
      </c>
      <c r="C66" s="3" t="s">
        <v>171</v>
      </c>
      <c r="D66" s="3" t="s">
        <v>172</v>
      </c>
      <c r="E66" s="3" t="s">
        <v>11</v>
      </c>
      <c r="F66" s="3" t="s">
        <v>175</v>
      </c>
      <c r="G66" s="2" t="str">
        <f>IFERROR(VLOOKUP(E66,Catálogo!A:B,2,FALSE),"")</f>
        <v>Implementar endpoint HTTP con body request que muta estado (crear/actualizar recurso) en el servicio dueño.</v>
      </c>
      <c r="H66" s="2"/>
      <c r="I66" s="3"/>
      <c r="J66" s="3" t="s">
        <v>23</v>
      </c>
      <c r="K66" s="3" t="s">
        <v>49</v>
      </c>
      <c r="L66" s="3" t="s">
        <v>75</v>
      </c>
      <c r="M66" s="3"/>
      <c r="N66" s="3"/>
      <c r="O66" s="3" t="s">
        <v>174</v>
      </c>
      <c r="P66" s="3"/>
      <c r="Q66" s="3"/>
      <c r="R66" s="3"/>
    </row>
    <row r="67" spans="1:18" ht="45" x14ac:dyDescent="0.25">
      <c r="A67" s="3">
        <v>66</v>
      </c>
      <c r="B67" s="3">
        <v>1</v>
      </c>
      <c r="C67" s="3" t="s">
        <v>171</v>
      </c>
      <c r="D67" s="3" t="s">
        <v>172</v>
      </c>
      <c r="E67" s="3" t="s">
        <v>11</v>
      </c>
      <c r="F67" s="3" t="s">
        <v>176</v>
      </c>
      <c r="G67" s="2" t="str">
        <f>IFERROR(VLOOKUP(E67,Catálogo!A:B,2,FALSE),"")</f>
        <v>Implementar endpoint HTTP con body request que muta estado (crear/actualizar recurso) en el servicio dueño.</v>
      </c>
      <c r="H67" s="2"/>
      <c r="I67" s="3"/>
      <c r="J67" s="3" t="s">
        <v>23</v>
      </c>
      <c r="K67" s="3" t="s">
        <v>49</v>
      </c>
      <c r="L67" s="3" t="s">
        <v>75</v>
      </c>
      <c r="M67" s="3"/>
      <c r="N67" s="3"/>
      <c r="O67" s="3" t="s">
        <v>174</v>
      </c>
      <c r="P67" s="3"/>
      <c r="Q67" s="3"/>
      <c r="R67" s="3"/>
    </row>
    <row r="68" spans="1:18" ht="60" x14ac:dyDescent="0.25">
      <c r="A68" s="3">
        <v>67</v>
      </c>
      <c r="B68" s="3">
        <v>1</v>
      </c>
      <c r="C68" s="3" t="s">
        <v>171</v>
      </c>
      <c r="D68" s="3" t="s">
        <v>172</v>
      </c>
      <c r="E68" s="3" t="s">
        <v>37</v>
      </c>
      <c r="F68" s="3" t="s">
        <v>177</v>
      </c>
      <c r="G68" s="2" t="str">
        <f>IFERROR(VLOOKUP(E68,Catálogo!A:B,2,FALSE),"")</f>
        <v>Implementar filtro HTTP que valida el header X-Internal-Api-Key en todos los endpoints bajo /api/internal/**. Si el header no coincide, responde 403.</v>
      </c>
      <c r="H68" s="2"/>
      <c r="I68" s="3"/>
      <c r="J68" s="3" t="s">
        <v>23</v>
      </c>
      <c r="K68" s="3" t="s">
        <v>79</v>
      </c>
      <c r="L68" s="3" t="s">
        <v>75</v>
      </c>
      <c r="M68" s="3"/>
      <c r="N68" s="3"/>
      <c r="O68" s="3" t="s">
        <v>178</v>
      </c>
      <c r="P68" s="3"/>
      <c r="Q68" s="3"/>
      <c r="R68" s="3"/>
    </row>
    <row r="69" spans="1:18" ht="30" x14ac:dyDescent="0.25">
      <c r="A69" s="3">
        <v>68</v>
      </c>
      <c r="B69" s="3">
        <v>1</v>
      </c>
      <c r="C69" s="3" t="s">
        <v>171</v>
      </c>
      <c r="D69" s="3" t="s">
        <v>172</v>
      </c>
      <c r="E69" s="3" t="s">
        <v>49</v>
      </c>
      <c r="F69" s="3" t="s">
        <v>179</v>
      </c>
      <c r="G69" s="2" t="str">
        <f>IFERROR(VLOOKUP(E69,Catálogo!A:B,2,FALSE),"")</f>
        <v>Test que valida un endpoint interno propio: request, respuesta esperada, status code. Usa MockMvc.</v>
      </c>
      <c r="H69" s="2"/>
      <c r="I69" s="3"/>
      <c r="J69" s="3" t="s">
        <v>23</v>
      </c>
      <c r="K69" s="3" t="s">
        <v>23</v>
      </c>
      <c r="L69" s="3" t="s">
        <v>75</v>
      </c>
      <c r="M69" s="3"/>
      <c r="N69" s="3"/>
      <c r="O69" s="3" t="s">
        <v>180</v>
      </c>
      <c r="P69" s="3"/>
      <c r="Q69" s="3"/>
      <c r="R69" s="3"/>
    </row>
    <row r="70" spans="1:18" ht="30" x14ac:dyDescent="0.25">
      <c r="A70" s="3">
        <v>69</v>
      </c>
      <c r="B70" s="3">
        <v>1</v>
      </c>
      <c r="C70" s="3" t="s">
        <v>171</v>
      </c>
      <c r="D70" s="3" t="s">
        <v>172</v>
      </c>
      <c r="E70" s="3" t="s">
        <v>49</v>
      </c>
      <c r="F70" s="3" t="s">
        <v>181</v>
      </c>
      <c r="G70" s="2" t="str">
        <f>IFERROR(VLOOKUP(E70,Catálogo!A:B,2,FALSE),"")</f>
        <v>Test que valida un endpoint interno propio: request, respuesta esperada, status code. Usa MockMvc.</v>
      </c>
      <c r="H70" s="2"/>
      <c r="I70" s="3"/>
      <c r="J70" s="3" t="s">
        <v>23</v>
      </c>
      <c r="K70" s="3" t="s">
        <v>23</v>
      </c>
      <c r="L70" s="3" t="s">
        <v>75</v>
      </c>
      <c r="M70" s="3"/>
      <c r="N70" s="3"/>
      <c r="O70" s="3" t="s">
        <v>180</v>
      </c>
      <c r="P70" s="3"/>
      <c r="Q70" s="3"/>
      <c r="R70" s="3"/>
    </row>
    <row r="71" spans="1:18" ht="30" x14ac:dyDescent="0.25">
      <c r="A71" s="3">
        <v>70</v>
      </c>
      <c r="B71" s="3">
        <v>1</v>
      </c>
      <c r="C71" s="3" t="s">
        <v>171</v>
      </c>
      <c r="D71" s="3" t="s">
        <v>172</v>
      </c>
      <c r="E71" s="3" t="s">
        <v>49</v>
      </c>
      <c r="F71" s="3" t="s">
        <v>182</v>
      </c>
      <c r="G71" s="2" t="str">
        <f>IFERROR(VLOOKUP(E71,Catálogo!A:B,2,FALSE),"")</f>
        <v>Test que valida un endpoint interno propio: request, respuesta esperada, status code. Usa MockMvc.</v>
      </c>
      <c r="H71" s="2"/>
      <c r="I71" s="3"/>
      <c r="J71" s="3" t="s">
        <v>23</v>
      </c>
      <c r="K71" s="3" t="s">
        <v>23</v>
      </c>
      <c r="L71" s="3" t="s">
        <v>75</v>
      </c>
      <c r="M71" s="3"/>
      <c r="N71" s="3"/>
      <c r="O71" s="3" t="s">
        <v>180</v>
      </c>
      <c r="P71" s="3"/>
      <c r="Q71" s="3"/>
      <c r="R71" s="3"/>
    </row>
    <row r="72" spans="1:18" ht="30" x14ac:dyDescent="0.25">
      <c r="A72" s="3">
        <v>71</v>
      </c>
      <c r="B72" s="3">
        <v>1</v>
      </c>
      <c r="C72" s="3" t="s">
        <v>171</v>
      </c>
      <c r="D72" s="3" t="s">
        <v>172</v>
      </c>
      <c r="E72" s="3" t="s">
        <v>49</v>
      </c>
      <c r="F72" s="3" t="s">
        <v>183</v>
      </c>
      <c r="G72" s="2" t="str">
        <f>IFERROR(VLOOKUP(E72,Catálogo!A:B,2,FALSE),"")</f>
        <v>Test que valida un endpoint interno propio: request, respuesta esperada, status code. Usa MockMvc.</v>
      </c>
      <c r="H72" s="2"/>
      <c r="I72" s="3"/>
      <c r="J72" s="3" t="s">
        <v>23</v>
      </c>
      <c r="K72" s="3" t="s">
        <v>23</v>
      </c>
      <c r="L72" s="3" t="s">
        <v>75</v>
      </c>
      <c r="M72" s="3"/>
      <c r="N72" s="3"/>
      <c r="O72" s="3" t="s">
        <v>180</v>
      </c>
      <c r="P72" s="3"/>
      <c r="Q72" s="3"/>
      <c r="R72" s="3"/>
    </row>
    <row r="73" spans="1:18" ht="30" x14ac:dyDescent="0.25">
      <c r="A73" s="3">
        <v>72</v>
      </c>
      <c r="B73" s="3">
        <v>1</v>
      </c>
      <c r="C73" s="3" t="s">
        <v>171</v>
      </c>
      <c r="D73" s="3" t="s">
        <v>172</v>
      </c>
      <c r="E73" s="3" t="s">
        <v>49</v>
      </c>
      <c r="F73" s="3" t="s">
        <v>184</v>
      </c>
      <c r="G73" s="2" t="str">
        <f>IFERROR(VLOOKUP(E73,Catálogo!A:B,2,FALSE),"")</f>
        <v>Test que valida un endpoint interno propio: request, respuesta esperada, status code. Usa MockMvc.</v>
      </c>
      <c r="H73" s="2"/>
      <c r="I73" s="3"/>
      <c r="J73" s="3" t="s">
        <v>23</v>
      </c>
      <c r="K73" s="3" t="s">
        <v>23</v>
      </c>
      <c r="L73" s="3" t="s">
        <v>75</v>
      </c>
      <c r="M73" s="3"/>
      <c r="N73" s="3"/>
      <c r="O73" s="3" t="s">
        <v>180</v>
      </c>
      <c r="P73" s="3"/>
      <c r="Q73" s="3"/>
      <c r="R73" s="3"/>
    </row>
    <row r="74" spans="1:18" ht="30" x14ac:dyDescent="0.25">
      <c r="A74" s="3">
        <v>73</v>
      </c>
      <c r="B74" s="3">
        <v>1</v>
      </c>
      <c r="C74" s="3" t="s">
        <v>171</v>
      </c>
      <c r="D74" s="3" t="s">
        <v>172</v>
      </c>
      <c r="E74" s="3" t="s">
        <v>49</v>
      </c>
      <c r="F74" s="3" t="s">
        <v>185</v>
      </c>
      <c r="G74" s="2" t="str">
        <f>IFERROR(VLOOKUP(E74,Catálogo!A:B,2,FALSE),"")</f>
        <v>Test que valida un endpoint interno propio: request, respuesta esperada, status code. Usa MockMvc.</v>
      </c>
      <c r="H74" s="2"/>
      <c r="I74" s="3"/>
      <c r="J74" s="3" t="s">
        <v>23</v>
      </c>
      <c r="K74" s="3" t="s">
        <v>23</v>
      </c>
      <c r="L74" s="3" t="s">
        <v>75</v>
      </c>
      <c r="M74" s="3"/>
      <c r="N74" s="3"/>
      <c r="O74" s="3" t="s">
        <v>180</v>
      </c>
      <c r="P74" s="3"/>
      <c r="Q74" s="3"/>
      <c r="R74" s="3"/>
    </row>
    <row r="75" spans="1:18" ht="60" x14ac:dyDescent="0.25">
      <c r="A75" s="3">
        <v>74</v>
      </c>
      <c r="B75" s="3">
        <v>2</v>
      </c>
      <c r="C75" s="3" t="s">
        <v>171</v>
      </c>
      <c r="D75" s="3" t="s">
        <v>172</v>
      </c>
      <c r="E75" s="3" t="s">
        <v>15</v>
      </c>
      <c r="F75" s="3" t="s">
        <v>186</v>
      </c>
      <c r="G75" s="2" t="str">
        <f>IFERROR(VLOOKUP(E75,Catálogo!A:B,2,FALSE),"")</f>
        <v>Cambiar la implementación de un port (interface hexagonal) que hoy consulta Supabase REST directo, por un HTTP client que llama al endpoint interno del servicio dueño. La firma del port NO cambia.</v>
      </c>
      <c r="H75" s="2"/>
      <c r="I75" s="3"/>
      <c r="J75" s="3" t="s">
        <v>187</v>
      </c>
      <c r="K75" s="3" t="s">
        <v>46</v>
      </c>
      <c r="L75" s="3" t="s">
        <v>75</v>
      </c>
      <c r="M75" s="3"/>
      <c r="N75" s="3"/>
      <c r="O75" s="3" t="s">
        <v>188</v>
      </c>
      <c r="P75" s="3"/>
      <c r="Q75" s="3"/>
      <c r="R75" s="3"/>
    </row>
    <row r="76" spans="1:18" ht="45" x14ac:dyDescent="0.25">
      <c r="A76" s="3">
        <v>75</v>
      </c>
      <c r="B76" s="3">
        <v>2</v>
      </c>
      <c r="C76" s="3" t="s">
        <v>171</v>
      </c>
      <c r="D76" s="3" t="s">
        <v>172</v>
      </c>
      <c r="E76" s="3" t="s">
        <v>42</v>
      </c>
      <c r="F76" s="3" t="s">
        <v>189</v>
      </c>
      <c r="G76" s="2" t="str">
        <f>IFERROR(VLOOKUP(E76,Catálogo!A:B,2,FALSE),"")</f>
        <v>Test que cubre la lógica de un use case o entidad de dominio sin tocar infraestructura (sin Spring, sin BD, sin HTTP).</v>
      </c>
      <c r="H76" s="2"/>
      <c r="I76" s="3"/>
      <c r="J76" s="3" t="s">
        <v>23</v>
      </c>
      <c r="K76" s="3" t="s">
        <v>23</v>
      </c>
      <c r="L76" s="3" t="s">
        <v>75</v>
      </c>
      <c r="M76" s="3"/>
      <c r="N76" s="3"/>
      <c r="O76" s="3" t="s">
        <v>190</v>
      </c>
      <c r="P76" s="3"/>
      <c r="Q76" s="3"/>
      <c r="R76" s="3"/>
    </row>
    <row r="77" spans="1:18" ht="45" x14ac:dyDescent="0.25">
      <c r="A77" s="3">
        <v>76</v>
      </c>
      <c r="B77" s="3">
        <v>2</v>
      </c>
      <c r="C77" s="3" t="s">
        <v>171</v>
      </c>
      <c r="D77" s="3" t="s">
        <v>172</v>
      </c>
      <c r="E77" s="3" t="s">
        <v>42</v>
      </c>
      <c r="F77" s="3" t="s">
        <v>191</v>
      </c>
      <c r="G77" s="2" t="str">
        <f>IFERROR(VLOOKUP(E77,Catálogo!A:B,2,FALSE),"")</f>
        <v>Test que cubre la lógica de un use case o entidad de dominio sin tocar infraestructura (sin Spring, sin BD, sin HTTP).</v>
      </c>
      <c r="H77" s="2"/>
      <c r="I77" s="3"/>
      <c r="J77" s="3" t="s">
        <v>23</v>
      </c>
      <c r="K77" s="3" t="s">
        <v>23</v>
      </c>
      <c r="L77" s="3" t="s">
        <v>75</v>
      </c>
      <c r="M77" s="3"/>
      <c r="N77" s="3"/>
      <c r="O77" s="3" t="s">
        <v>190</v>
      </c>
      <c r="P77" s="3"/>
      <c r="Q77" s="3"/>
      <c r="R77" s="3"/>
    </row>
    <row r="78" spans="1:18" ht="45" x14ac:dyDescent="0.25">
      <c r="A78" s="3">
        <v>77</v>
      </c>
      <c r="B78" s="3">
        <v>2</v>
      </c>
      <c r="C78" s="3" t="s">
        <v>171</v>
      </c>
      <c r="D78" s="3" t="s">
        <v>172</v>
      </c>
      <c r="E78" s="3" t="s">
        <v>42</v>
      </c>
      <c r="F78" s="3" t="s">
        <v>192</v>
      </c>
      <c r="G78" s="2" t="str">
        <f>IFERROR(VLOOKUP(E78,Catálogo!A:B,2,FALSE),"")</f>
        <v>Test que cubre la lógica de un use case o entidad de dominio sin tocar infraestructura (sin Spring, sin BD, sin HTTP).</v>
      </c>
      <c r="H78" s="2"/>
      <c r="I78" s="3"/>
      <c r="J78" s="3" t="s">
        <v>23</v>
      </c>
      <c r="K78" s="3" t="s">
        <v>23</v>
      </c>
      <c r="L78" s="3" t="s">
        <v>75</v>
      </c>
      <c r="M78" s="3"/>
      <c r="N78" s="3"/>
      <c r="O78" s="3" t="s">
        <v>190</v>
      </c>
      <c r="P78" s="3"/>
      <c r="Q78" s="3"/>
      <c r="R78" s="3"/>
    </row>
    <row r="79" spans="1:18" ht="45" x14ac:dyDescent="0.25">
      <c r="A79" s="3">
        <v>78</v>
      </c>
      <c r="B79" s="3">
        <v>2</v>
      </c>
      <c r="C79" s="3" t="s">
        <v>171</v>
      </c>
      <c r="D79" s="3" t="s">
        <v>172</v>
      </c>
      <c r="E79" s="3" t="s">
        <v>42</v>
      </c>
      <c r="F79" s="3" t="s">
        <v>193</v>
      </c>
      <c r="G79" s="2" t="str">
        <f>IFERROR(VLOOKUP(E79,Catálogo!A:B,2,FALSE),"")</f>
        <v>Test que cubre la lógica de un use case o entidad de dominio sin tocar infraestructura (sin Spring, sin BD, sin HTTP).</v>
      </c>
      <c r="H79" s="2"/>
      <c r="I79" s="3"/>
      <c r="J79" s="3" t="s">
        <v>23</v>
      </c>
      <c r="K79" s="3" t="s">
        <v>23</v>
      </c>
      <c r="L79" s="3" t="s">
        <v>75</v>
      </c>
      <c r="M79" s="3"/>
      <c r="N79" s="3"/>
      <c r="O79" s="3" t="s">
        <v>190</v>
      </c>
      <c r="P79" s="3"/>
      <c r="Q79" s="3"/>
      <c r="R79" s="3"/>
    </row>
    <row r="80" spans="1:18" ht="45" x14ac:dyDescent="0.25">
      <c r="A80" s="3">
        <v>79</v>
      </c>
      <c r="B80" s="3">
        <v>2</v>
      </c>
      <c r="C80" s="3" t="s">
        <v>171</v>
      </c>
      <c r="D80" s="3" t="s">
        <v>172</v>
      </c>
      <c r="E80" s="3" t="s">
        <v>42</v>
      </c>
      <c r="F80" s="3" t="s">
        <v>194</v>
      </c>
      <c r="G80" s="2" t="str">
        <f>IFERROR(VLOOKUP(E80,Catálogo!A:B,2,FALSE),"")</f>
        <v>Test que cubre la lógica de un use case o entidad de dominio sin tocar infraestructura (sin Spring, sin BD, sin HTTP).</v>
      </c>
      <c r="H80" s="2"/>
      <c r="I80" s="3"/>
      <c r="J80" s="3" t="s">
        <v>23</v>
      </c>
      <c r="K80" s="3" t="s">
        <v>23</v>
      </c>
      <c r="L80" s="3" t="s">
        <v>75</v>
      </c>
      <c r="M80" s="3"/>
      <c r="N80" s="3"/>
      <c r="O80" s="3" t="s">
        <v>190</v>
      </c>
      <c r="P80" s="3"/>
      <c r="Q80" s="3"/>
      <c r="R80" s="3"/>
    </row>
    <row r="81" spans="1:18" ht="45" x14ac:dyDescent="0.25">
      <c r="A81" s="3">
        <v>80</v>
      </c>
      <c r="B81" s="3">
        <v>2</v>
      </c>
      <c r="C81" s="3" t="s">
        <v>171</v>
      </c>
      <c r="D81" s="3" t="s">
        <v>172</v>
      </c>
      <c r="E81" s="3" t="s">
        <v>42</v>
      </c>
      <c r="F81" s="3" t="s">
        <v>195</v>
      </c>
      <c r="G81" s="2" t="str">
        <f>IFERROR(VLOOKUP(E81,Catálogo!A:B,2,FALSE),"")</f>
        <v>Test que cubre la lógica de un use case o entidad de dominio sin tocar infraestructura (sin Spring, sin BD, sin HTTP).</v>
      </c>
      <c r="H81" s="2"/>
      <c r="I81" s="3"/>
      <c r="J81" s="3" t="s">
        <v>23</v>
      </c>
      <c r="K81" s="3" t="s">
        <v>23</v>
      </c>
      <c r="L81" s="3" t="s">
        <v>75</v>
      </c>
      <c r="M81" s="3"/>
      <c r="N81" s="3"/>
      <c r="O81" s="3" t="s">
        <v>190</v>
      </c>
      <c r="P81" s="3"/>
      <c r="Q81" s="3"/>
      <c r="R81" s="3"/>
    </row>
    <row r="82" spans="1:18" ht="60" x14ac:dyDescent="0.25">
      <c r="A82" s="3">
        <v>81</v>
      </c>
      <c r="B82" s="3">
        <v>2</v>
      </c>
      <c r="C82" s="3" t="s">
        <v>171</v>
      </c>
      <c r="D82" s="3" t="s">
        <v>172</v>
      </c>
      <c r="E82" s="3" t="s">
        <v>46</v>
      </c>
      <c r="F82" s="3" t="s">
        <v>196</v>
      </c>
      <c r="G82" s="2" t="str">
        <f>IFERROR(VLOOKUP(E82,Catálogo!A:B,2,FALSE),"")</f>
        <v>Test que valida que un HTTP client (hacia otro servicio) envía el request correcto, parsea la respuesta, y maneja errores del servicio dependiente (caído, timeout, 404).</v>
      </c>
      <c r="H82" s="2"/>
      <c r="I82" s="3"/>
      <c r="J82" s="3" t="s">
        <v>159</v>
      </c>
      <c r="K82" s="3" t="s">
        <v>23</v>
      </c>
      <c r="L82" s="3" t="s">
        <v>75</v>
      </c>
      <c r="M82" s="3"/>
      <c r="N82" s="3"/>
      <c r="O82" s="3" t="s">
        <v>190</v>
      </c>
      <c r="P82" s="3"/>
      <c r="Q82" s="3"/>
      <c r="R82" s="3"/>
    </row>
    <row r="83" spans="1:18" ht="60" x14ac:dyDescent="0.25">
      <c r="A83" s="3">
        <v>82</v>
      </c>
      <c r="B83" s="3">
        <v>2</v>
      </c>
      <c r="C83" s="3" t="s">
        <v>171</v>
      </c>
      <c r="D83" s="3" t="s">
        <v>172</v>
      </c>
      <c r="E83" s="3" t="s">
        <v>46</v>
      </c>
      <c r="F83" s="3" t="s">
        <v>197</v>
      </c>
      <c r="G83" s="2" t="str">
        <f>IFERROR(VLOOKUP(E83,Catálogo!A:B,2,FALSE),"")</f>
        <v>Test que valida que un HTTP client (hacia otro servicio) envía el request correcto, parsea la respuesta, y maneja errores del servicio dependiente (caído, timeout, 404).</v>
      </c>
      <c r="H83" s="2"/>
      <c r="I83" s="3"/>
      <c r="J83" s="3" t="s">
        <v>159</v>
      </c>
      <c r="K83" s="3" t="s">
        <v>23</v>
      </c>
      <c r="L83" s="3" t="s">
        <v>75</v>
      </c>
      <c r="M83" s="3"/>
      <c r="N83" s="3"/>
      <c r="O83" s="3" t="s">
        <v>190</v>
      </c>
      <c r="P83" s="3"/>
      <c r="Q83" s="3"/>
      <c r="R83" s="3"/>
    </row>
    <row r="84" spans="1:18" ht="60" x14ac:dyDescent="0.25">
      <c r="A84" s="3">
        <v>83</v>
      </c>
      <c r="B84" s="3">
        <v>2</v>
      </c>
      <c r="C84" s="3" t="s">
        <v>171</v>
      </c>
      <c r="D84" s="3" t="s">
        <v>172</v>
      </c>
      <c r="E84" s="3" t="s">
        <v>46</v>
      </c>
      <c r="F84" s="3" t="s">
        <v>198</v>
      </c>
      <c r="G84" s="2" t="str">
        <f>IFERROR(VLOOKUP(E84,Catálogo!A:B,2,FALSE),"")</f>
        <v>Test que valida que un HTTP client (hacia otro servicio) envía el request correcto, parsea la respuesta, y maneja errores del servicio dependiente (caído, timeout, 404).</v>
      </c>
      <c r="H84" s="2"/>
      <c r="I84" s="3"/>
      <c r="J84" s="3" t="s">
        <v>159</v>
      </c>
      <c r="K84" s="3" t="s">
        <v>23</v>
      </c>
      <c r="L84" s="3" t="s">
        <v>75</v>
      </c>
      <c r="M84" s="3"/>
      <c r="N84" s="3"/>
      <c r="O84" s="3" t="s">
        <v>190</v>
      </c>
      <c r="P84" s="3"/>
      <c r="Q84" s="3"/>
      <c r="R84" s="3"/>
    </row>
    <row r="85" spans="1:18" ht="60" x14ac:dyDescent="0.25">
      <c r="A85" s="3">
        <v>84</v>
      </c>
      <c r="B85" s="3">
        <v>2</v>
      </c>
      <c r="C85" s="3" t="s">
        <v>171</v>
      </c>
      <c r="D85" s="3" t="s">
        <v>172</v>
      </c>
      <c r="E85" s="3" t="s">
        <v>46</v>
      </c>
      <c r="F85" s="3" t="s">
        <v>199</v>
      </c>
      <c r="G85" s="2" t="str">
        <f>IFERROR(VLOOKUP(E85,Catálogo!A:B,2,FALSE),"")</f>
        <v>Test que valida que un HTTP client (hacia otro servicio) envía el request correcto, parsea la respuesta, y maneja errores del servicio dependiente (caído, timeout, 404).</v>
      </c>
      <c r="H85" s="2"/>
      <c r="I85" s="3"/>
      <c r="J85" s="3" t="s">
        <v>159</v>
      </c>
      <c r="K85" s="3" t="s">
        <v>23</v>
      </c>
      <c r="L85" s="3" t="s">
        <v>75</v>
      </c>
      <c r="M85" s="3"/>
      <c r="N85" s="3"/>
      <c r="O85" s="3" t="s">
        <v>190</v>
      </c>
      <c r="P85" s="3"/>
      <c r="Q85" s="3"/>
      <c r="R85" s="3"/>
    </row>
    <row r="86" spans="1:18" ht="45" x14ac:dyDescent="0.25">
      <c r="A86" s="3">
        <v>85</v>
      </c>
      <c r="B86" s="3">
        <v>3</v>
      </c>
      <c r="C86" s="3" t="s">
        <v>171</v>
      </c>
      <c r="D86" s="3" t="s">
        <v>172</v>
      </c>
      <c r="E86" s="3" t="s">
        <v>20</v>
      </c>
      <c r="F86" s="3" t="s">
        <v>200</v>
      </c>
      <c r="G86" s="2" t="str">
        <f>IFERROR(VLOOKUP(E86,Catálogo!A:B,2,FALSE),"")</f>
        <v>Definir el DDL de las tablas propias del servicio en un script SQL versionado. Cada tabla es propiedad exclusiva del servicio.</v>
      </c>
      <c r="H86" s="2"/>
      <c r="I86" s="3"/>
      <c r="J86" s="3" t="s">
        <v>23</v>
      </c>
      <c r="K86" s="3" t="s">
        <v>23</v>
      </c>
      <c r="L86" s="3" t="s">
        <v>75</v>
      </c>
      <c r="M86" s="3"/>
      <c r="N86" s="3"/>
      <c r="O86" s="3" t="s">
        <v>201</v>
      </c>
      <c r="P86" s="3"/>
      <c r="Q86" s="3"/>
      <c r="R86" s="3"/>
    </row>
    <row r="87" spans="1:18" ht="45" x14ac:dyDescent="0.25">
      <c r="A87" s="3">
        <v>86</v>
      </c>
      <c r="B87" s="3">
        <v>3</v>
      </c>
      <c r="C87" s="3" t="s">
        <v>171</v>
      </c>
      <c r="D87" s="3" t="s">
        <v>172</v>
      </c>
      <c r="E87" s="3" t="s">
        <v>29</v>
      </c>
      <c r="F87" s="3" t="s">
        <v>202</v>
      </c>
      <c r="G87" s="2" t="str">
        <f>IFERROR(VLOOKUP(E87,Catálogo!A:B,2,FALSE),"")</f>
        <v>Actualizar application.yml / .env del servicio para apuntar a su propia base de datos (SUPABASE_URL, SUPABASE_SERVICE_ROLE_KEY propios).</v>
      </c>
      <c r="H87" s="2"/>
      <c r="I87" s="3"/>
      <c r="J87" s="3" t="s">
        <v>98</v>
      </c>
      <c r="K87" s="3" t="s">
        <v>23</v>
      </c>
      <c r="L87" s="3" t="s">
        <v>75</v>
      </c>
      <c r="M87" s="3"/>
      <c r="N87" s="3"/>
      <c r="O87" s="3" t="s">
        <v>203</v>
      </c>
      <c r="P87" s="3"/>
      <c r="Q87" s="3"/>
      <c r="R87" s="3"/>
    </row>
    <row r="88" spans="1:18" ht="30" x14ac:dyDescent="0.25">
      <c r="A88" s="3">
        <v>87</v>
      </c>
      <c r="B88" s="3">
        <v>3</v>
      </c>
      <c r="C88" s="3" t="s">
        <v>171</v>
      </c>
      <c r="D88" s="3" t="s">
        <v>172</v>
      </c>
      <c r="E88" s="3" t="s">
        <v>25</v>
      </c>
      <c r="F88" s="3" t="s">
        <v>204</v>
      </c>
      <c r="G88" s="2" t="str">
        <f>IFERROR(VLOOKUP(E88,Catálogo!A:B,2,FALSE),"")</f>
        <v>Generar script que popula la BD del servicio con datos demo realistas para desarrollo y tests.</v>
      </c>
      <c r="H88" s="2"/>
      <c r="I88" s="3"/>
      <c r="J88" s="3" t="s">
        <v>98</v>
      </c>
      <c r="K88" s="3" t="s">
        <v>23</v>
      </c>
      <c r="L88" s="3" t="s">
        <v>75</v>
      </c>
      <c r="M88" s="3"/>
      <c r="N88" s="3"/>
      <c r="O88" s="3" t="s">
        <v>205</v>
      </c>
      <c r="P88" s="3"/>
      <c r="Q88" s="3"/>
      <c r="R88" s="3"/>
    </row>
    <row r="89" spans="1:18" ht="60" x14ac:dyDescent="0.25">
      <c r="A89" s="3">
        <v>88</v>
      </c>
      <c r="B89" s="3">
        <v>4</v>
      </c>
      <c r="C89" s="3" t="s">
        <v>206</v>
      </c>
      <c r="D89" s="3" t="s">
        <v>206</v>
      </c>
      <c r="E89" s="3" t="s">
        <v>46</v>
      </c>
      <c r="F89" s="3" t="s">
        <v>207</v>
      </c>
      <c r="G89" s="2" t="str">
        <f>IFERROR(VLOOKUP(E89,Catálogo!A:B,2,FALSE),"")</f>
        <v>Test que valida que un HTTP client (hacia otro servicio) envía el request correcto, parsea la respuesta, y maneja errores del servicio dependiente (caído, timeout, 404).</v>
      </c>
      <c r="H89" s="2"/>
      <c r="I89" s="3"/>
      <c r="J89" s="3" t="s">
        <v>208</v>
      </c>
      <c r="K89" s="3" t="s">
        <v>23</v>
      </c>
      <c r="L89" s="3" t="s">
        <v>75</v>
      </c>
      <c r="M89" s="3"/>
      <c r="N89" s="3"/>
      <c r="O89" s="3" t="s">
        <v>209</v>
      </c>
      <c r="P89" s="3"/>
      <c r="Q89" s="3"/>
      <c r="R89" s="3"/>
    </row>
  </sheetData>
  <dataValidations count="5">
    <dataValidation type="list" allowBlank="1" errorTitle="Valor inválido" error="Estimación debe ser una de: 0.5, 1, 2, 4, 8, 16" sqref="I2:I89" xr:uid="{00000000-0002-0000-0100-000000000000}">
      <formula1>"0.5,1,2,4,8,16"</formula1>
    </dataValidation>
    <dataValidation type="list" allowBlank="1" sqref="L2:L89" xr:uid="{00000000-0002-0000-0100-000001000000}">
      <formula1>"Pendiente,En progreso,Completado"</formula1>
    </dataValidation>
    <dataValidation type="list" allowBlank="1" sqref="C2:C89" xr:uid="{00000000-0002-0000-0100-000002000000}">
      <formula1>"Auth,Catalog,Orders,Delivery,Todos"</formula1>
    </dataValidation>
    <dataValidation type="list" allowBlank="1" sqref="B2:B89" xr:uid="{00000000-0002-0000-0100-000003000000}">
      <formula1>"1,2,3,4"</formula1>
    </dataValidation>
    <dataValidation type="list" allowBlank="1" errorTitle="Tipo inválido" error="Tipo debe existir en el Catálogo" sqref="E2:E89" xr:uid="{00000000-0002-0000-0100-000004000000}">
      <formula1>_xlfn._LONGTEXT("Crear endpoint interno GET,Crear endpoint interno POST/PATCH,Reemplazar adapter SQL → HTTP,Crear esquema SQL independiente,Crear script de seed,Configurar nueva conexión BD,Configurar URLs servicios internos,Configurar InternalApiKeyFilter,Test unitario d","e dominio,Test de integración HTTP client,Test de endpoint interno,Test de contrato JSON")</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1"/>
  <sheetViews>
    <sheetView workbookViewId="0">
      <pane ySplit="3" topLeftCell="A4" activePane="bottomLeft" state="frozen"/>
      <selection pane="bottomLeft" sqref="A1:D1"/>
    </sheetView>
  </sheetViews>
  <sheetFormatPr baseColWidth="10" defaultColWidth="9.140625" defaultRowHeight="15" x14ac:dyDescent="0.25"/>
  <cols>
    <col min="1" max="1" width="38" customWidth="1"/>
    <col min="2" max="2" width="14" customWidth="1"/>
    <col min="3" max="4" width="20" customWidth="1"/>
  </cols>
  <sheetData>
    <row r="1" spans="1:4" ht="18.75" x14ac:dyDescent="0.3">
      <c r="A1" s="8" t="s">
        <v>210</v>
      </c>
      <c r="B1" s="9"/>
      <c r="C1" s="9"/>
      <c r="D1" s="9"/>
    </row>
    <row r="3" spans="1:4" ht="15.75" x14ac:dyDescent="0.25">
      <c r="A3" s="4" t="s">
        <v>211</v>
      </c>
    </row>
    <row r="4" spans="1:4" x14ac:dyDescent="0.25">
      <c r="A4" s="1" t="s">
        <v>58</v>
      </c>
      <c r="B4" s="1" t="s">
        <v>212</v>
      </c>
      <c r="C4" s="1" t="s">
        <v>213</v>
      </c>
      <c r="D4" s="1" t="s">
        <v>71</v>
      </c>
    </row>
    <row r="5" spans="1:4" x14ac:dyDescent="0.25">
      <c r="A5" s="5" t="s">
        <v>72</v>
      </c>
      <c r="B5" s="3">
        <f>COUNTIF('Mi estimación'!C:C,A5)</f>
        <v>18</v>
      </c>
      <c r="C5" s="3">
        <f>SUMIFS('Mi estimación'!I:I,'Mi estimación'!C:C,A5)</f>
        <v>0</v>
      </c>
      <c r="D5" s="3">
        <f>SUMIFS('Mi estimación'!R:R,'Mi estimación'!C:C,A5)</f>
        <v>0</v>
      </c>
    </row>
    <row r="6" spans="1:4" x14ac:dyDescent="0.25">
      <c r="A6" s="5" t="s">
        <v>102</v>
      </c>
      <c r="B6" s="3">
        <f>COUNTIF('Mi estimación'!C:C,A6)</f>
        <v>21</v>
      </c>
      <c r="C6" s="3">
        <f>SUMIFS('Mi estimación'!I:I,'Mi estimación'!C:C,A6)</f>
        <v>0</v>
      </c>
      <c r="D6" s="3">
        <f>SUMIFS('Mi estimación'!R:R,'Mi estimación'!C:C,A6)</f>
        <v>0</v>
      </c>
    </row>
    <row r="7" spans="1:4" x14ac:dyDescent="0.25">
      <c r="A7" s="5" t="s">
        <v>132</v>
      </c>
      <c r="B7" s="3">
        <f>COUNTIF('Mi estimación'!C:C,A7)</f>
        <v>24</v>
      </c>
      <c r="C7" s="3">
        <f>SUMIFS('Mi estimación'!I:I,'Mi estimación'!C:C,A7)</f>
        <v>0</v>
      </c>
      <c r="D7" s="3">
        <f>SUMIFS('Mi estimación'!R:R,'Mi estimación'!C:C,A7)</f>
        <v>0</v>
      </c>
    </row>
    <row r="8" spans="1:4" x14ac:dyDescent="0.25">
      <c r="A8" s="5" t="s">
        <v>171</v>
      </c>
      <c r="B8" s="3">
        <f>COUNTIF('Mi estimación'!C:C,A8)</f>
        <v>24</v>
      </c>
      <c r="C8" s="3">
        <f>SUMIFS('Mi estimación'!I:I,'Mi estimación'!C:C,A8)</f>
        <v>0</v>
      </c>
      <c r="D8" s="3">
        <f>SUMIFS('Mi estimación'!R:R,'Mi estimación'!C:C,A8)</f>
        <v>0</v>
      </c>
    </row>
    <row r="9" spans="1:4" x14ac:dyDescent="0.25">
      <c r="A9" s="5" t="s">
        <v>206</v>
      </c>
      <c r="B9" s="3">
        <f>COUNTIF('Mi estimación'!C:C,A9)</f>
        <v>1</v>
      </c>
      <c r="C9" s="3">
        <f>SUMIFS('Mi estimación'!I:I,'Mi estimación'!C:C,A9)</f>
        <v>0</v>
      </c>
      <c r="D9" s="3">
        <f>SUMIFS('Mi estimación'!R:R,'Mi estimación'!C:C,A9)</f>
        <v>0</v>
      </c>
    </row>
    <row r="10" spans="1:4" x14ac:dyDescent="0.25">
      <c r="A10" s="6" t="s">
        <v>214</v>
      </c>
      <c r="B10" s="7">
        <f>SUM(B5:B9)</f>
        <v>88</v>
      </c>
      <c r="C10" s="7">
        <f>SUM(C5:C9)</f>
        <v>0</v>
      </c>
      <c r="D10" s="7">
        <f>SUM(D5:D9)</f>
        <v>0</v>
      </c>
    </row>
    <row r="13" spans="1:4" ht="15.75" x14ac:dyDescent="0.25">
      <c r="A13" s="4" t="s">
        <v>215</v>
      </c>
    </row>
    <row r="14" spans="1:4" x14ac:dyDescent="0.25">
      <c r="A14" s="1" t="s">
        <v>57</v>
      </c>
      <c r="B14" s="1" t="s">
        <v>212</v>
      </c>
      <c r="C14" s="1" t="s">
        <v>213</v>
      </c>
      <c r="D14" s="1" t="s">
        <v>71</v>
      </c>
    </row>
    <row r="15" spans="1:4" x14ac:dyDescent="0.25">
      <c r="A15" s="3">
        <v>1</v>
      </c>
      <c r="B15" s="3">
        <f>COUNTIF('Mi estimación'!B:B,A15)</f>
        <v>47</v>
      </c>
      <c r="C15" s="3">
        <f>SUMIFS('Mi estimación'!I:I,'Mi estimación'!B:B,A15)</f>
        <v>0</v>
      </c>
      <c r="D15" s="3">
        <f>SUMIFS('Mi estimación'!R:R,'Mi estimación'!B:B,A15)</f>
        <v>0</v>
      </c>
    </row>
    <row r="16" spans="1:4" x14ac:dyDescent="0.25">
      <c r="A16" s="3">
        <v>2</v>
      </c>
      <c r="B16" s="3">
        <f>COUNTIF('Mi estimación'!B:B,A16)</f>
        <v>28</v>
      </c>
      <c r="C16" s="3">
        <f>SUMIFS('Mi estimación'!I:I,'Mi estimación'!B:B,A16)</f>
        <v>0</v>
      </c>
      <c r="D16" s="3">
        <f>SUMIFS('Mi estimación'!R:R,'Mi estimación'!B:B,A16)</f>
        <v>0</v>
      </c>
    </row>
    <row r="17" spans="1:4" x14ac:dyDescent="0.25">
      <c r="A17" s="3">
        <v>3</v>
      </c>
      <c r="B17" s="3">
        <f>COUNTIF('Mi estimación'!B:B,A17)</f>
        <v>12</v>
      </c>
      <c r="C17" s="3">
        <f>SUMIFS('Mi estimación'!I:I,'Mi estimación'!B:B,A17)</f>
        <v>0</v>
      </c>
      <c r="D17" s="3">
        <f>SUMIFS('Mi estimación'!R:R,'Mi estimación'!B:B,A17)</f>
        <v>0</v>
      </c>
    </row>
    <row r="18" spans="1:4" x14ac:dyDescent="0.25">
      <c r="A18" s="3">
        <v>4</v>
      </c>
      <c r="B18" s="3">
        <f>COUNTIF('Mi estimación'!B:B,A18)</f>
        <v>1</v>
      </c>
      <c r="C18" s="3">
        <f>SUMIFS('Mi estimación'!I:I,'Mi estimación'!B:B,A18)</f>
        <v>0</v>
      </c>
      <c r="D18" s="3">
        <f>SUMIFS('Mi estimación'!R:R,'Mi estimación'!B:B,A18)</f>
        <v>0</v>
      </c>
    </row>
    <row r="20" spans="1:4" ht="15.75" x14ac:dyDescent="0.25">
      <c r="A20" s="4" t="s">
        <v>216</v>
      </c>
    </row>
    <row r="21" spans="1:4" x14ac:dyDescent="0.25">
      <c r="A21" s="1" t="s">
        <v>59</v>
      </c>
      <c r="B21" s="1" t="s">
        <v>212</v>
      </c>
      <c r="C21" s="1" t="s">
        <v>213</v>
      </c>
      <c r="D21" s="1" t="s">
        <v>71</v>
      </c>
    </row>
    <row r="22" spans="1:4" x14ac:dyDescent="0.25">
      <c r="A22" s="3" t="s">
        <v>73</v>
      </c>
      <c r="B22" s="3">
        <f>COUNTIF('Mi estimación'!D:D,A22)</f>
        <v>18</v>
      </c>
      <c r="C22" s="3">
        <f>SUMIFS('Mi estimación'!I:I,'Mi estimación'!D:D,A22)</f>
        <v>0</v>
      </c>
      <c r="D22" s="3">
        <f>SUMIFS('Mi estimación'!R:R,'Mi estimación'!D:D,A22)</f>
        <v>0</v>
      </c>
    </row>
    <row r="23" spans="1:4" x14ac:dyDescent="0.25">
      <c r="A23" s="3" t="s">
        <v>103</v>
      </c>
      <c r="B23" s="3">
        <f>COUNTIF('Mi estimación'!D:D,A23)</f>
        <v>21</v>
      </c>
      <c r="C23" s="3">
        <f>SUMIFS('Mi estimación'!I:I,'Mi estimación'!D:D,A23)</f>
        <v>0</v>
      </c>
      <c r="D23" s="3">
        <f>SUMIFS('Mi estimación'!R:R,'Mi estimación'!D:D,A23)</f>
        <v>0</v>
      </c>
    </row>
    <row r="24" spans="1:4" x14ac:dyDescent="0.25">
      <c r="A24" s="3" t="s">
        <v>133</v>
      </c>
      <c r="B24" s="3">
        <f>COUNTIF('Mi estimación'!D:D,A24)</f>
        <v>24</v>
      </c>
      <c r="C24" s="3">
        <f>SUMIFS('Mi estimación'!I:I,'Mi estimación'!D:D,A24)</f>
        <v>0</v>
      </c>
      <c r="D24" s="3">
        <f>SUMIFS('Mi estimación'!R:R,'Mi estimación'!D:D,A24)</f>
        <v>0</v>
      </c>
    </row>
    <row r="25" spans="1:4" x14ac:dyDescent="0.25">
      <c r="A25" s="3" t="s">
        <v>172</v>
      </c>
      <c r="B25" s="3">
        <f>COUNTIF('Mi estimación'!D:D,A25)</f>
        <v>24</v>
      </c>
      <c r="C25" s="3">
        <f>SUMIFS('Mi estimación'!I:I,'Mi estimación'!D:D,A25)</f>
        <v>0</v>
      </c>
      <c r="D25" s="3">
        <f>SUMIFS('Mi estimación'!R:R,'Mi estimación'!D:D,A25)</f>
        <v>0</v>
      </c>
    </row>
    <row r="26" spans="1:4" x14ac:dyDescent="0.25">
      <c r="A26" s="3" t="s">
        <v>206</v>
      </c>
      <c r="B26" s="3">
        <f>COUNTIF('Mi estimación'!D:D,A26)</f>
        <v>1</v>
      </c>
      <c r="C26" s="3">
        <f>SUMIFS('Mi estimación'!I:I,'Mi estimación'!D:D,A26)</f>
        <v>0</v>
      </c>
      <c r="D26" s="3">
        <f>SUMIFS('Mi estimación'!R:R,'Mi estimación'!D:D,A26)</f>
        <v>0</v>
      </c>
    </row>
    <row r="28" spans="1:4" ht="15.75" x14ac:dyDescent="0.25">
      <c r="A28" s="4" t="s">
        <v>217</v>
      </c>
    </row>
    <row r="29" spans="1:4" x14ac:dyDescent="0.25">
      <c r="A29" s="1" t="s">
        <v>218</v>
      </c>
      <c r="B29" s="1" t="s">
        <v>212</v>
      </c>
      <c r="C29" s="1" t="s">
        <v>213</v>
      </c>
      <c r="D29" s="1" t="s">
        <v>71</v>
      </c>
    </row>
    <row r="30" spans="1:4" x14ac:dyDescent="0.25">
      <c r="A30" s="3" t="s">
        <v>6</v>
      </c>
      <c r="B30" s="3">
        <f>COUNTIF('Mi estimación'!E:E,A30)</f>
        <v>7</v>
      </c>
      <c r="C30" s="3">
        <f>SUMIFS('Mi estimación'!I:I,'Mi estimación'!E:E,A30)</f>
        <v>0</v>
      </c>
      <c r="D30" s="3">
        <f>SUMIFS('Mi estimación'!R:R,'Mi estimación'!E:E,A30)</f>
        <v>0</v>
      </c>
    </row>
    <row r="31" spans="1:4" x14ac:dyDescent="0.25">
      <c r="A31" s="3" t="s">
        <v>11</v>
      </c>
      <c r="B31" s="3">
        <f>COUNTIF('Mi estimación'!E:E,A31)</f>
        <v>2</v>
      </c>
      <c r="C31" s="3">
        <f>SUMIFS('Mi estimación'!I:I,'Mi estimación'!E:E,A31)</f>
        <v>0</v>
      </c>
      <c r="D31" s="3">
        <f>SUMIFS('Mi estimación'!R:R,'Mi estimación'!E:E,A31)</f>
        <v>0</v>
      </c>
    </row>
    <row r="32" spans="1:4" x14ac:dyDescent="0.25">
      <c r="A32" s="3" t="s">
        <v>15</v>
      </c>
      <c r="B32" s="3">
        <f>COUNTIF('Mi estimación'!E:E,A32)</f>
        <v>5</v>
      </c>
      <c r="C32" s="3">
        <f>SUMIFS('Mi estimación'!I:I,'Mi estimación'!E:E,A32)</f>
        <v>0</v>
      </c>
      <c r="D32" s="3">
        <f>SUMIFS('Mi estimación'!R:R,'Mi estimación'!E:E,A32)</f>
        <v>0</v>
      </c>
    </row>
    <row r="33" spans="1:4" x14ac:dyDescent="0.25">
      <c r="A33" s="3" t="s">
        <v>20</v>
      </c>
      <c r="B33" s="3">
        <f>COUNTIF('Mi estimación'!E:E,A33)</f>
        <v>4</v>
      </c>
      <c r="C33" s="3">
        <f>SUMIFS('Mi estimación'!I:I,'Mi estimación'!E:E,A33)</f>
        <v>0</v>
      </c>
      <c r="D33" s="3">
        <f>SUMIFS('Mi estimación'!R:R,'Mi estimación'!E:E,A33)</f>
        <v>0</v>
      </c>
    </row>
    <row r="34" spans="1:4" x14ac:dyDescent="0.25">
      <c r="A34" s="3" t="s">
        <v>25</v>
      </c>
      <c r="B34" s="3">
        <f>COUNTIF('Mi estimación'!E:E,A34)</f>
        <v>4</v>
      </c>
      <c r="C34" s="3">
        <f>SUMIFS('Mi estimación'!I:I,'Mi estimación'!E:E,A34)</f>
        <v>0</v>
      </c>
      <c r="D34" s="3">
        <f>SUMIFS('Mi estimación'!R:R,'Mi estimación'!E:E,A34)</f>
        <v>0</v>
      </c>
    </row>
    <row r="35" spans="1:4" x14ac:dyDescent="0.25">
      <c r="A35" s="3" t="s">
        <v>29</v>
      </c>
      <c r="B35" s="3">
        <f>COUNTIF('Mi estimación'!E:E,A35)</f>
        <v>4</v>
      </c>
      <c r="C35" s="3">
        <f>SUMIFS('Mi estimación'!I:I,'Mi estimación'!E:E,A35)</f>
        <v>0</v>
      </c>
      <c r="D35" s="3">
        <f>SUMIFS('Mi estimación'!R:R,'Mi estimación'!E:E,A35)</f>
        <v>0</v>
      </c>
    </row>
    <row r="36" spans="1:4" x14ac:dyDescent="0.25">
      <c r="A36" s="3" t="s">
        <v>33</v>
      </c>
      <c r="B36" s="3">
        <f>COUNTIF('Mi estimación'!E:E,A36)</f>
        <v>1</v>
      </c>
      <c r="C36" s="3">
        <f>SUMIFS('Mi estimación'!I:I,'Mi estimación'!E:E,A36)</f>
        <v>0</v>
      </c>
      <c r="D36" s="3">
        <f>SUMIFS('Mi estimación'!R:R,'Mi estimación'!E:E,A36)</f>
        <v>0</v>
      </c>
    </row>
    <row r="37" spans="1:4" x14ac:dyDescent="0.25">
      <c r="A37" s="3" t="s">
        <v>37</v>
      </c>
      <c r="B37" s="3">
        <f>COUNTIF('Mi estimación'!E:E,A37)</f>
        <v>4</v>
      </c>
      <c r="C37" s="3">
        <f>SUMIFS('Mi estimación'!I:I,'Mi estimación'!E:E,A37)</f>
        <v>0</v>
      </c>
      <c r="D37" s="3">
        <f>SUMIFS('Mi estimación'!R:R,'Mi estimación'!E:E,A37)</f>
        <v>0</v>
      </c>
    </row>
    <row r="38" spans="1:4" x14ac:dyDescent="0.25">
      <c r="A38" s="3" t="s">
        <v>42</v>
      </c>
      <c r="B38" s="3">
        <f>COUNTIF('Mi estimación'!E:E,A38)</f>
        <v>26</v>
      </c>
      <c r="C38" s="3">
        <f>SUMIFS('Mi estimación'!I:I,'Mi estimación'!E:E,A38)</f>
        <v>0</v>
      </c>
      <c r="D38" s="3">
        <f>SUMIFS('Mi estimación'!R:R,'Mi estimación'!E:E,A38)</f>
        <v>0</v>
      </c>
    </row>
    <row r="39" spans="1:4" x14ac:dyDescent="0.25">
      <c r="A39" s="3" t="s">
        <v>46</v>
      </c>
      <c r="B39" s="3">
        <f>COUNTIF('Mi estimación'!E:E,A39)</f>
        <v>11</v>
      </c>
      <c r="C39" s="3">
        <f>SUMIFS('Mi estimación'!I:I,'Mi estimación'!E:E,A39)</f>
        <v>0</v>
      </c>
      <c r="D39" s="3">
        <f>SUMIFS('Mi estimación'!R:R,'Mi estimación'!E:E,A39)</f>
        <v>0</v>
      </c>
    </row>
    <row r="40" spans="1:4" x14ac:dyDescent="0.25">
      <c r="A40" s="3" t="s">
        <v>49</v>
      </c>
      <c r="B40" s="3">
        <f>COUNTIF('Mi estimación'!E:E,A40)</f>
        <v>17</v>
      </c>
      <c r="C40" s="3">
        <f>SUMIFS('Mi estimación'!I:I,'Mi estimación'!E:E,A40)</f>
        <v>0</v>
      </c>
      <c r="D40" s="3">
        <f>SUMIFS('Mi estimación'!R:R,'Mi estimación'!E:E,A40)</f>
        <v>0</v>
      </c>
    </row>
    <row r="41" spans="1:4" x14ac:dyDescent="0.25">
      <c r="A41" s="3" t="s">
        <v>52</v>
      </c>
      <c r="B41" s="3">
        <f>COUNTIF('Mi estimación'!E:E,A41)</f>
        <v>3</v>
      </c>
      <c r="C41" s="3">
        <f>SUMIFS('Mi estimación'!I:I,'Mi estimación'!E:E,A41)</f>
        <v>0</v>
      </c>
      <c r="D41" s="3">
        <f>SUMIFS('Mi estimación'!R:R,'Mi estimación'!E:E,A41)</f>
        <v>0</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Catálogo</vt:lpstr>
      <vt:lpstr>Mi estimación</vt:lpstr>
      <vt:lpstr>Resumen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Sebastian Rozas</cp:lastModifiedBy>
  <dcterms:created xsi:type="dcterms:W3CDTF">2026-08-12T19:54:18Z</dcterms:created>
  <dcterms:modified xsi:type="dcterms:W3CDTF">2026-08-12T20:00:21Z</dcterms:modified>
</cp:coreProperties>
</file>